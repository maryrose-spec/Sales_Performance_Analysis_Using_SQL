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Downloads\SQL Query Sales Report\"/>
    </mc:Choice>
  </mc:AlternateContent>
  <xr:revisionPtr revIDLastSave="0" documentId="13_ncr:1_{E7FA0D81-2661-4B4C-86B1-58376CA15D76}" xr6:coauthVersionLast="47" xr6:coauthVersionMax="47" xr10:uidLastSave="{00000000-0000-0000-0000-000000000000}"/>
  <bookViews>
    <workbookView xWindow="-108" yWindow="-108" windowWidth="23256" windowHeight="12576" firstSheet="3" activeTab="3" xr2:uid="{3338D622-FC26-4897-B298-1ABC2D4889FF}"/>
    <workbookView minimized="1" xWindow="864" yWindow="1164" windowWidth="13392" windowHeight="8964" firstSheet="3" activeTab="3" xr2:uid="{67C92A62-CD03-46EC-BC7E-5E179DD395BB}"/>
    <workbookView xWindow="-108" yWindow="-108" windowWidth="23256" windowHeight="12576" activeTab="1" xr2:uid="{7BDD6C64-D3A2-42AA-84F4-BEAA8C7259D1}"/>
  </bookViews>
  <sheets>
    <sheet name="Sheet2" sheetId="12" r:id="rId1"/>
    <sheet name="Dashboard" sheetId="13" r:id="rId2"/>
    <sheet name="Category_by_ Revenu" sheetId="2" r:id="rId3"/>
    <sheet name="Category_by_Quantity" sheetId="3" r:id="rId4"/>
    <sheet name="Monthly_Sales_Trends" sheetId="4" r:id="rId5"/>
    <sheet name="Most used Payment Method" sheetId="5" r:id="rId6"/>
    <sheet name="Revenue_by_Region" sheetId="7" r:id="rId7"/>
    <sheet name="Sales amount By total Revenu" sheetId="8" r:id="rId8"/>
    <sheet name="Sales Channel_by_Revenue" sheetId="9" r:id="rId9"/>
    <sheet name="Sales_Rep_by_orders_handled" sheetId="10" r:id="rId10"/>
    <sheet name="Category with the highest Reven" sheetId="11" r:id="rId11"/>
  </sheets>
  <definedNames>
    <definedName name="ExternalData_1" localSheetId="10" hidden="1">'Category with the highest Reven'!$A$1:$C$5</definedName>
    <definedName name="ExternalData_1" localSheetId="2" hidden="1">'Category_by_ Revenu'!$A$1:$B$5</definedName>
    <definedName name="ExternalData_1" localSheetId="3" hidden="1">'Category_by_Quantity'!$A$1:$B$5</definedName>
    <definedName name="ExternalData_1" localSheetId="4" hidden="1">Monthly_Sales_Trends!$A$1:$C$14</definedName>
    <definedName name="ExternalData_1" localSheetId="5" hidden="1">'Most used Payment Method'!$A$1:$B$3</definedName>
    <definedName name="ExternalData_1" localSheetId="6" hidden="1">'Revenue_by_Region'!$A$1:$B$5</definedName>
    <definedName name="ExternalData_1" localSheetId="7" hidden="1">'Sales amount By total Revenu'!$A$1:$A$2</definedName>
    <definedName name="ExternalData_1" localSheetId="8" hidden="1">'Sales Channel_by_Revenue'!$A$1:$B$3</definedName>
    <definedName name="ExternalData_1" localSheetId="9" hidden="1">Sales_Rep_by_orders_handled!$A$1:$B$6</definedName>
    <definedName name="Slicer_Year">#N/A</definedName>
  </definedNames>
  <calcPr calcId="191029"/>
  <pivotCaches>
    <pivotCache cacheId="42" r:id="rId12"/>
    <pivotCache cacheId="46" r:id="rId13"/>
    <pivotCache cacheId="54" r:id="rId14"/>
    <pivotCache cacheId="58" r:id="rId15"/>
    <pivotCache cacheId="62" r:id="rId16"/>
    <pivotCache cacheId="75" r:id="rId17"/>
    <pivotCache cacheId="69" r:id="rId18"/>
    <pivotCache cacheId="73"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87D2FD-69F5-4C5A-A042-94F3363DD71D}" keepAlive="1" name="Query - Category with the highest Revenue by Discount" description="Connection to the 'Category with the highest Revenue by Discount' query in the workbook." type="5" refreshedVersion="8" background="1" saveData="1">
    <dbPr connection="Provider=Microsoft.Mashup.OleDb.1;Data Source=$Workbook$;Location=&quot;Category with the highest Revenue by Discount&quot;;Extended Properties=&quot;&quot;" command="SELECT * FROM [Category with the highest Revenue by Discount]"/>
  </connection>
  <connection id="2" xr16:uid="{A2F9E9D1-7F43-4387-B038-ABA6D05A7CB7}" keepAlive="1" name="Query - Category_by_ Revenu" description="Connection to the 'Category_by_ Revenu' query in the workbook." type="5" refreshedVersion="8" background="1" saveData="1">
    <dbPr connection="Provider=Microsoft.Mashup.OleDb.1;Data Source=$Workbook$;Location=&quot;Category_by_ Revenu&quot;;Extended Properties=&quot;&quot;" command="SELECT * FROM [Category_by_ Revenu]"/>
  </connection>
  <connection id="3" xr16:uid="{A3366C4C-3A66-4C74-97A8-A1313E3BB287}" keepAlive="1" name="Query - Category_by_Quantity" description="Connection to the 'Category_by_Quantity' query in the workbook." type="5" refreshedVersion="8" background="1" saveData="1">
    <dbPr connection="Provider=Microsoft.Mashup.OleDb.1;Data Source=$Workbook$;Location=Category_by_Quantity;Extended Properties=&quot;&quot;" command="SELECT * FROM [Category_by_Quantity]"/>
  </connection>
  <connection id="4" xr16:uid="{C0C2AB3A-FB58-4BE4-8C70-7A0FF9F5EC80}" keepAlive="1" name="Query - Monthly_Sales_Trends" description="Connection to the 'Monthly_Sales_Trends' query in the workbook." type="5" refreshedVersion="8" background="1" saveData="1">
    <dbPr connection="Provider=Microsoft.Mashup.OleDb.1;Data Source=$Workbook$;Location=Monthly_Sales_Trends;Extended Properties=&quot;&quot;" command="SELECT * FROM [Monthly_Sales_Trends]"/>
  </connection>
  <connection id="5" xr16:uid="{2510F2CA-057E-4F72-A251-E6FF0650A32B}" keepAlive="1" name="Query - Most used Payment Method" description="Connection to the 'Most used Payment Method' query in the workbook." type="5" refreshedVersion="8" background="1" saveData="1">
    <dbPr connection="Provider=Microsoft.Mashup.OleDb.1;Data Source=$Workbook$;Location=&quot;Most used Payment Method&quot;;Extended Properties=&quot;&quot;" command="SELECT * FROM [Most used Payment Method]"/>
  </connection>
  <connection id="6" xr16:uid="{496894F4-FEA0-4389-8D35-E5CCF4F0DD45}" keepAlive="1" name="Query - product_by_total sale" description="Connection to the 'product_by_total sale' query in the workbook." type="5" refreshedVersion="0" background="1">
    <dbPr connection="Provider=Microsoft.Mashup.OleDb.1;Data Source=$Workbook$;Location=&quot;product_by_total sale&quot;;Extended Properties=&quot;&quot;" command="SELECT * FROM [product_by_total sale]"/>
  </connection>
  <connection id="7" xr16:uid="{40B11524-4C71-4EA4-8F77-8E98A77D2805}" keepAlive="1" name="Query - Revenue_by_Region" description="Connection to the 'Revenue_by_Region' query in the workbook." type="5" refreshedVersion="8" background="1" saveData="1">
    <dbPr connection="Provider=Microsoft.Mashup.OleDb.1;Data Source=$Workbook$;Location=Revenue_by_Region;Extended Properties=&quot;&quot;" command="SELECT * FROM [Revenue_by_Region]"/>
  </connection>
  <connection id="8" xr16:uid="{5F124742-E6A7-4643-8F09-60BEE8240CA2}" keepAlive="1" name="Query - Sales amount By total Revenu" description="Connection to the 'Sales amount By total Revenu' query in the workbook." type="5" refreshedVersion="8" background="1" saveData="1">
    <dbPr connection="Provider=Microsoft.Mashup.OleDb.1;Data Source=$Workbook$;Location=&quot;Sales amount By total Revenu&quot;;Extended Properties=&quot;&quot;" command="SELECT * FROM [Sales amount By total Revenu]"/>
  </connection>
  <connection id="9" xr16:uid="{97F98D6C-2F01-4B0C-9CAA-CF50341AFCB8}" keepAlive="1" name="Query - Sales Channel_by_Revenue" description="Connection to the 'Sales Channel_by_Revenue' query in the workbook." type="5" refreshedVersion="8" background="1" saveData="1">
    <dbPr connection="Provider=Microsoft.Mashup.OleDb.1;Data Source=$Workbook$;Location=&quot;Sales Channel_by_Revenue&quot;;Extended Properties=&quot;&quot;" command="SELECT * FROM [Sales Channel_by_Revenue]"/>
  </connection>
  <connection id="10" xr16:uid="{0A60B6F9-F04A-496E-8912-F1331B24B5BE}" keepAlive="1" name="Query - Sales_Rep_by_orders_handled" description="Connection to the 'Sales_Rep_by_orders_handled' query in the workbook." type="5" refreshedVersion="8" background="1" saveData="1">
    <dbPr connection="Provider=Microsoft.Mashup.OleDb.1;Data Source=$Workbook$;Location=Sales_Rep_by_orders_handled;Extended Properties=&quot;&quot;" command="SELECT * FROM [Sales_Rep_by_orders_handled]"/>
  </connection>
</connections>
</file>

<file path=xl/sharedStrings.xml><?xml version="1.0" encoding="utf-8"?>
<sst xmlns="http://schemas.openxmlformats.org/spreadsheetml/2006/main" count="92" uniqueCount="37">
  <si>
    <t>Product_Category</t>
  </si>
  <si>
    <t>Revenue</t>
  </si>
  <si>
    <t>Clothing</t>
  </si>
  <si>
    <t>Furniture</t>
  </si>
  <si>
    <t>Electronics</t>
  </si>
  <si>
    <t>Food</t>
  </si>
  <si>
    <t>Total_Units</t>
  </si>
  <si>
    <t>Year</t>
  </si>
  <si>
    <t>Month</t>
  </si>
  <si>
    <t>Monthly_Revenue</t>
  </si>
  <si>
    <t>Sales_Channel</t>
  </si>
  <si>
    <t>Retail</t>
  </si>
  <si>
    <t>Online</t>
  </si>
  <si>
    <t>Region</t>
  </si>
  <si>
    <t>North</t>
  </si>
  <si>
    <t>East</t>
  </si>
  <si>
    <t>West</t>
  </si>
  <si>
    <t>South</t>
  </si>
  <si>
    <t>Total_Revenue</t>
  </si>
  <si>
    <t>Sales_Rep</t>
  </si>
  <si>
    <t>Orders_handled</t>
  </si>
  <si>
    <t>David</t>
  </si>
  <si>
    <t>Eve</t>
  </si>
  <si>
    <t>Bob</t>
  </si>
  <si>
    <t>Alice</t>
  </si>
  <si>
    <t>Charlie</t>
  </si>
  <si>
    <t>Average_Discount</t>
  </si>
  <si>
    <t>Grand Total</t>
  </si>
  <si>
    <t>Sum of Revenue</t>
  </si>
  <si>
    <t>Sum of Total_Units</t>
  </si>
  <si>
    <t>Sum of Monthly_Revenue</t>
  </si>
  <si>
    <t>Sum of Total_Revenue</t>
  </si>
  <si>
    <t>Sum of Orders_handled</t>
  </si>
  <si>
    <t>Monthly_trend</t>
  </si>
  <si>
    <t>Sum of Average_Discount</t>
  </si>
  <si>
    <t>Product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</si>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</sst>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 fillId="2" borderId="0" xfId="0" applyFont="1" applyFill="1" applyAlignment="1">
      <alignment horizontal="center" vertic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[Sales_Dashboard.xlsx]Sheet2!PivotTable18</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Category by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pattFill prst="ltUpDiag">
              <a:fgClr>
                <a:schemeClr val="accent1"/>
              </a:fgClr>
              <a:bgClr>
                <a:schemeClr val="lt1"/>
              </a:bgClr>
            </a:pattFill>
            <a:ln>
              <a:noFill/>
            </a:ln>
            <a:effectLst/>
          </c:spPr>
          <c:invertIfNegative val="0"/>
          <c:cat>
            <c:strRef>
              <c:f>Sheet2!$A$4:$A$8</c:f>
              <c:strCache>
                <c:ptCount val="4"/>
                <c:pt idx="0">
                  <c:v>Clothing</c:v>
                </c:pt>
                <c:pt idx="1">
                  <c:v>Furniture</c:v>
                </c:pt>
                <c:pt idx="2">
                  <c:v>Electronics</c:v>
                </c:pt>
                <c:pt idx="3">
                  <c:v>Food</c:v>
                </c:pt>
              </c:strCache>
            </c:strRef>
          </c:cat>
          <c:val>
            <c:numRef>
              <c:f>Sheet2!$B$4:$B$8</c:f>
              <c:numCache>
                <c:formatCode>General</c:formatCode>
                <c:ptCount val="4"/>
                <c:pt idx="0">
                  <c:v>1313474.3600000001</c:v>
                </c:pt>
                <c:pt idx="1">
                  <c:v>1260517.69</c:v>
                </c:pt>
                <c:pt idx="2">
                  <c:v>1243499.6399999999</c:v>
                </c:pt>
                <c:pt idx="3">
                  <c:v>1201773.54</c:v>
                </c:pt>
              </c:numCache>
            </c:numRef>
          </c:val>
          <c:extLst>
            <c:ext xmlns:c16="http://schemas.microsoft.com/office/drawing/2014/chart" uri="{C3380CC4-5D6E-409C-BE32-E72D297353CC}">
              <c16:uniqueId val="{00000000-37B8-4FEC-80F5-2144AAA3E5B9}"/>
            </c:ext>
          </c:extLst>
        </c:ser>
        <c:dLbls>
          <c:showLegendKey val="0"/>
          <c:showVal val="0"/>
          <c:showCatName val="0"/>
          <c:showSerName val="0"/>
          <c:showPercent val="0"/>
          <c:showBubbleSize val="0"/>
        </c:dLbls>
        <c:gapWidth val="269"/>
        <c:overlap val="-20"/>
        <c:axId val="1590852528"/>
        <c:axId val="1590850608"/>
      </c:barChart>
      <c:catAx>
        <c:axId val="1590852528"/>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90850608"/>
        <c:crosses val="autoZero"/>
        <c:auto val="1"/>
        <c:lblAlgn val="ctr"/>
        <c:lblOffset val="100"/>
        <c:noMultiLvlLbl val="0"/>
      </c:catAx>
      <c:valAx>
        <c:axId val="1590850608"/>
        <c:scaling>
          <c:orientation val="minMax"/>
        </c:scaling>
        <c:delete val="1"/>
        <c:axPos val="l"/>
        <c:numFmt formatCode="General" sourceLinked="1"/>
        <c:majorTickMark val="none"/>
        <c:minorTickMark val="none"/>
        <c:tickLblPos val="nextTo"/>
        <c:crossAx val="159085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by Quantity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Sheet2!$A$11:$A$15</c:f>
              <c:strCache>
                <c:ptCount val="4"/>
                <c:pt idx="0">
                  <c:v>Clothing</c:v>
                </c:pt>
                <c:pt idx="1">
                  <c:v>Furniture</c:v>
                </c:pt>
                <c:pt idx="2">
                  <c:v>Electronics</c:v>
                </c:pt>
                <c:pt idx="3">
                  <c:v>Food</c:v>
                </c:pt>
              </c:strCache>
            </c:strRef>
          </c:cat>
          <c:val>
            <c:numRef>
              <c:f>Sheet2!$B$11:$B$15</c:f>
              <c:numCache>
                <c:formatCode>General</c:formatCode>
                <c:ptCount val="4"/>
                <c:pt idx="0">
                  <c:v>6922</c:v>
                </c:pt>
                <c:pt idx="1">
                  <c:v>6729</c:v>
                </c:pt>
                <c:pt idx="2">
                  <c:v>6096</c:v>
                </c:pt>
                <c:pt idx="3">
                  <c:v>5608</c:v>
                </c:pt>
              </c:numCache>
            </c:numRef>
          </c:val>
          <c:extLst>
            <c:ext xmlns:c16="http://schemas.microsoft.com/office/drawing/2014/chart" uri="{C3380CC4-5D6E-409C-BE32-E72D297353CC}">
              <c16:uniqueId val="{00000000-FD37-47D1-9414-488B6D1B0948}"/>
            </c:ext>
          </c:extLst>
        </c:ser>
        <c:dLbls>
          <c:dLblPos val="inEnd"/>
          <c:showLegendKey val="0"/>
          <c:showVal val="1"/>
          <c:showCatName val="0"/>
          <c:showSerName val="0"/>
          <c:showPercent val="0"/>
          <c:showBubbleSize val="0"/>
        </c:dLbls>
        <c:gapWidth val="65"/>
        <c:axId val="347182096"/>
        <c:axId val="184217024"/>
      </c:barChart>
      <c:catAx>
        <c:axId val="347182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217024"/>
        <c:crosses val="autoZero"/>
        <c:auto val="1"/>
        <c:lblAlgn val="ctr"/>
        <c:lblOffset val="100"/>
        <c:noMultiLvlLbl val="0"/>
      </c:catAx>
      <c:valAx>
        <c:axId val="184217024"/>
        <c:scaling>
          <c:orientation val="minMax"/>
        </c:scaling>
        <c:delete val="1"/>
        <c:axPos val="b"/>
        <c:numFmt formatCode="General" sourceLinked="1"/>
        <c:majorTickMark val="none"/>
        <c:minorTickMark val="none"/>
        <c:tickLblPos val="nextTo"/>
        <c:crossAx val="34718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Trend</a:t>
            </a:r>
          </a:p>
        </c:rich>
      </c:tx>
      <c:layout>
        <c:manualLayout>
          <c:xMode val="edge"/>
          <c:yMode val="edge"/>
          <c:x val="0.37269444444444438"/>
          <c:y val="2.77777777777777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Sheet2!$A$18:$A$31</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2023</c:v>
                  </c:pt>
                </c:lvl>
              </c:multiLvlStrCache>
            </c:multiLvlStrRef>
          </c:cat>
          <c:val>
            <c:numRef>
              <c:f>Sheet2!$B$18:$B$31</c:f>
              <c:numCache>
                <c:formatCode>General</c:formatCode>
                <c:ptCount val="12"/>
                <c:pt idx="0">
                  <c:v>476092.36</c:v>
                </c:pt>
                <c:pt idx="1">
                  <c:v>368919.36</c:v>
                </c:pt>
                <c:pt idx="2">
                  <c:v>402638.77</c:v>
                </c:pt>
                <c:pt idx="3">
                  <c:v>438992.61</c:v>
                </c:pt>
                <c:pt idx="4">
                  <c:v>389078.76</c:v>
                </c:pt>
                <c:pt idx="5">
                  <c:v>418458.34</c:v>
                </c:pt>
                <c:pt idx="6">
                  <c:v>374242.88</c:v>
                </c:pt>
                <c:pt idx="7">
                  <c:v>443171.28</c:v>
                </c:pt>
                <c:pt idx="8">
                  <c:v>367837.6</c:v>
                </c:pt>
                <c:pt idx="9">
                  <c:v>460378.78</c:v>
                </c:pt>
                <c:pt idx="10">
                  <c:v>467482.9</c:v>
                </c:pt>
                <c:pt idx="11">
                  <c:v>392643.58</c:v>
                </c:pt>
              </c:numCache>
            </c:numRef>
          </c:val>
          <c:smooth val="0"/>
          <c:extLst>
            <c:ext xmlns:c16="http://schemas.microsoft.com/office/drawing/2014/chart" uri="{C3380CC4-5D6E-409C-BE32-E72D297353CC}">
              <c16:uniqueId val="{00000000-F07C-49F9-8027-68F990D8A6ED}"/>
            </c:ext>
          </c:extLst>
        </c:ser>
        <c:dLbls>
          <c:dLblPos val="ctr"/>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2513056"/>
        <c:axId val="192513536"/>
      </c:lineChart>
      <c:catAx>
        <c:axId val="1925130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2513536"/>
        <c:crosses val="autoZero"/>
        <c:auto val="1"/>
        <c:lblAlgn val="ctr"/>
        <c:lblOffset val="100"/>
        <c:noMultiLvlLbl val="0"/>
      </c:catAx>
      <c:valAx>
        <c:axId val="192513536"/>
        <c:scaling>
          <c:orientation val="minMax"/>
        </c:scaling>
        <c:delete val="1"/>
        <c:axPos val="l"/>
        <c:numFmt formatCode="General" sourceLinked="1"/>
        <c:majorTickMark val="none"/>
        <c:minorTickMark val="none"/>
        <c:tickLblPos val="nextTo"/>
        <c:crossAx val="19251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Channel By Revenue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902475425866"/>
          <c:y val="0.18813466118791705"/>
          <c:w val="0.79624504657506046"/>
          <c:h val="0.73460264900662253"/>
        </c:manualLayout>
      </c:layout>
      <c:barChart>
        <c:barDir val="bar"/>
        <c:grouping val="clustered"/>
        <c:varyColors val="0"/>
        <c:ser>
          <c:idx val="0"/>
          <c:order val="0"/>
          <c:tx>
            <c:strRef>
              <c:f>Sheet2!$E$3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Sheet2!$D$4:$D$6</c:f>
              <c:strCache>
                <c:ptCount val="2"/>
                <c:pt idx="0">
                  <c:v>Online</c:v>
                </c:pt>
                <c:pt idx="1">
                  <c:v>Retail</c:v>
                </c:pt>
              </c:strCache>
            </c:strRef>
          </c:cat>
          <c:val>
            <c:numRef>
              <c:f>Sheet2!$E$4:$E$6</c:f>
              <c:numCache>
                <c:formatCode>General</c:formatCode>
                <c:ptCount val="2"/>
                <c:pt idx="0">
                  <c:v>2458833.9300000002</c:v>
                </c:pt>
                <c:pt idx="1">
                  <c:v>2560431.2999999998</c:v>
                </c:pt>
              </c:numCache>
            </c:numRef>
          </c:val>
          <c:extLst>
            <c:ext xmlns:c16="http://schemas.microsoft.com/office/drawing/2014/chart" uri="{C3380CC4-5D6E-409C-BE32-E72D297353CC}">
              <c16:uniqueId val="{00000000-C290-4751-A5FC-CE074BD7BE22}"/>
            </c:ext>
          </c:extLst>
        </c:ser>
        <c:dLbls>
          <c:showLegendKey val="0"/>
          <c:showVal val="0"/>
          <c:showCatName val="0"/>
          <c:showSerName val="0"/>
          <c:showPercent val="0"/>
          <c:showBubbleSize val="0"/>
        </c:dLbls>
        <c:gapWidth val="326"/>
        <c:overlap val="-58"/>
        <c:axId val="1840760832"/>
        <c:axId val="1825870848"/>
      </c:barChart>
      <c:catAx>
        <c:axId val="18407608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70848"/>
        <c:crosses val="autoZero"/>
        <c:auto val="1"/>
        <c:lblAlgn val="ctr"/>
        <c:lblOffset val="100"/>
        <c:noMultiLvlLbl val="0"/>
      </c:catAx>
      <c:valAx>
        <c:axId val="1825870848"/>
        <c:scaling>
          <c:orientation val="minMax"/>
        </c:scaling>
        <c:delete val="1"/>
        <c:axPos val="b"/>
        <c:numFmt formatCode="General" sourceLinked="1"/>
        <c:majorTickMark val="none"/>
        <c:minorTickMark val="none"/>
        <c:tickLblPos val="nextTo"/>
        <c:crossAx val="184076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[Sales_Dashboard.xlsx]Sheet2!PivotTable23</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 by Revenue</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Sheet2!$E$8</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4CB-4387-8C27-98900664307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4CB-4387-8C27-98900664307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4CB-4387-8C27-98900664307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4CB-4387-8C27-9890066430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Sheet2!$D$9:$D$13</c:f>
              <c:strCache>
                <c:ptCount val="4"/>
                <c:pt idx="0">
                  <c:v>North</c:v>
                </c:pt>
                <c:pt idx="1">
                  <c:v>East</c:v>
                </c:pt>
                <c:pt idx="2">
                  <c:v>West</c:v>
                </c:pt>
                <c:pt idx="3">
                  <c:v>South</c:v>
                </c:pt>
              </c:strCache>
            </c:strRef>
          </c:cat>
          <c:val>
            <c:numRef>
              <c:f>Sheet2!$E$9:$E$13</c:f>
              <c:numCache>
                <c:formatCode>General</c:formatCode>
                <c:ptCount val="4"/>
                <c:pt idx="0">
                  <c:v>1369612.51</c:v>
                </c:pt>
                <c:pt idx="1">
                  <c:v>1259792.93</c:v>
                </c:pt>
                <c:pt idx="2">
                  <c:v>1235608.93</c:v>
                </c:pt>
                <c:pt idx="3">
                  <c:v>1154250.8600000001</c:v>
                </c:pt>
              </c:numCache>
            </c:numRef>
          </c:val>
          <c:extLst>
            <c:ext xmlns:c16="http://schemas.microsoft.com/office/drawing/2014/chart" uri="{C3380CC4-5D6E-409C-BE32-E72D297353CC}">
              <c16:uniqueId val="{00000000-24CB-4387-8C27-98900664307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Sales Rep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Sheet2!$D$19:$D$24</c:f>
              <c:strCache>
                <c:ptCount val="5"/>
                <c:pt idx="0">
                  <c:v>David</c:v>
                </c:pt>
                <c:pt idx="1">
                  <c:v>Eve</c:v>
                </c:pt>
                <c:pt idx="2">
                  <c:v>Bob</c:v>
                </c:pt>
                <c:pt idx="3">
                  <c:v>Alice</c:v>
                </c:pt>
                <c:pt idx="4">
                  <c:v>Charlie</c:v>
                </c:pt>
              </c:strCache>
            </c:strRef>
          </c:cat>
          <c:val>
            <c:numRef>
              <c:f>Sheet2!$E$19:$E$24</c:f>
              <c:numCache>
                <c:formatCode>General</c:formatCode>
                <c:ptCount val="5"/>
                <c:pt idx="0">
                  <c:v>222</c:v>
                </c:pt>
                <c:pt idx="1">
                  <c:v>209</c:v>
                </c:pt>
                <c:pt idx="2">
                  <c:v>208</c:v>
                </c:pt>
                <c:pt idx="3">
                  <c:v>192</c:v>
                </c:pt>
                <c:pt idx="4">
                  <c:v>169</c:v>
                </c:pt>
              </c:numCache>
            </c:numRef>
          </c:val>
          <c:extLst>
            <c:ext xmlns:c16="http://schemas.microsoft.com/office/drawing/2014/chart" uri="{C3380CC4-5D6E-409C-BE32-E72D297353CC}">
              <c16:uniqueId val="{00000000-82D1-4EAA-961F-58CD642F7C1C}"/>
            </c:ext>
          </c:extLst>
        </c:ser>
        <c:dLbls>
          <c:showLegendKey val="0"/>
          <c:showVal val="0"/>
          <c:showCatName val="0"/>
          <c:showSerName val="0"/>
          <c:showPercent val="0"/>
          <c:showBubbleSize val="0"/>
        </c:dLbls>
        <c:gapWidth val="100"/>
        <c:overlap val="-24"/>
        <c:axId val="345016304"/>
        <c:axId val="186624624"/>
      </c:barChart>
      <c:catAx>
        <c:axId val="34501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624624"/>
        <c:crosses val="autoZero"/>
        <c:auto val="1"/>
        <c:lblAlgn val="ctr"/>
        <c:lblOffset val="100"/>
        <c:noMultiLvlLbl val="0"/>
      </c:catAx>
      <c:valAx>
        <c:axId val="186624624"/>
        <c:scaling>
          <c:orientation val="minMax"/>
        </c:scaling>
        <c:delete val="1"/>
        <c:axPos val="l"/>
        <c:numFmt formatCode="General" sourceLinked="1"/>
        <c:majorTickMark val="none"/>
        <c:minorTickMark val="none"/>
        <c:tickLblPos val="nextTo"/>
        <c:crossAx val="34501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by Discount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Sheet2!$H$3</c:f>
              <c:strCache>
                <c:ptCount val="1"/>
                <c:pt idx="0">
                  <c:v>Sum of Total_Revenue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Sheet2!$G$4:$G$8</c:f>
              <c:strCache>
                <c:ptCount val="4"/>
                <c:pt idx="0">
                  <c:v>Clothing</c:v>
                </c:pt>
                <c:pt idx="1">
                  <c:v>Electronics</c:v>
                </c:pt>
                <c:pt idx="2">
                  <c:v>Food</c:v>
                </c:pt>
                <c:pt idx="3">
                  <c:v>Furniture</c:v>
                </c:pt>
              </c:strCache>
            </c:strRef>
          </c:cat>
          <c:val>
            <c:numRef>
              <c:f>Sheet2!$H$4:$H$8</c:f>
              <c:numCache>
                <c:formatCode>General</c:formatCode>
                <c:ptCount val="4"/>
                <c:pt idx="0">
                  <c:v>1313474.3600000001</c:v>
                </c:pt>
                <c:pt idx="1">
                  <c:v>1243499.6399999999</c:v>
                </c:pt>
                <c:pt idx="2">
                  <c:v>1201773.54</c:v>
                </c:pt>
                <c:pt idx="3">
                  <c:v>1260517.69</c:v>
                </c:pt>
              </c:numCache>
            </c:numRef>
          </c:val>
          <c:extLst>
            <c:ext xmlns:c16="http://schemas.microsoft.com/office/drawing/2014/chart" uri="{C3380CC4-5D6E-409C-BE32-E72D297353CC}">
              <c16:uniqueId val="{00000000-9479-4905-BE3B-8B99F9411A54}"/>
            </c:ext>
          </c:extLst>
        </c:ser>
        <c:ser>
          <c:idx val="1"/>
          <c:order val="1"/>
          <c:tx>
            <c:strRef>
              <c:f>Sheet2!$I$3</c:f>
              <c:strCache>
                <c:ptCount val="1"/>
                <c:pt idx="0">
                  <c:v>Sum of Average_Discount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Sheet2!$G$4:$G$8</c:f>
              <c:strCache>
                <c:ptCount val="4"/>
                <c:pt idx="0">
                  <c:v>Clothing</c:v>
                </c:pt>
                <c:pt idx="1">
                  <c:v>Electronics</c:v>
                </c:pt>
                <c:pt idx="2">
                  <c:v>Food</c:v>
                </c:pt>
                <c:pt idx="3">
                  <c:v>Furniture</c:v>
                </c:pt>
              </c:strCache>
            </c:strRef>
          </c:cat>
          <c:val>
            <c:numRef>
              <c:f>Sheet2!$I$4:$I$8</c:f>
              <c:numCache>
                <c:formatCode>0.0%</c:formatCode>
                <c:ptCount val="4"/>
                <c:pt idx="0">
                  <c:v>0.16022400000000001</c:v>
                </c:pt>
                <c:pt idx="1">
                  <c:v>0.13650399999999999</c:v>
                </c:pt>
                <c:pt idx="2">
                  <c:v>0.153805</c:v>
                </c:pt>
                <c:pt idx="3">
                  <c:v>0.15811500000000001</c:v>
                </c:pt>
              </c:numCache>
            </c:numRef>
          </c:val>
          <c:extLst>
            <c:ext xmlns:c16="http://schemas.microsoft.com/office/drawing/2014/chart" uri="{C3380CC4-5D6E-409C-BE32-E72D297353CC}">
              <c16:uniqueId val="{00000001-9479-4905-BE3B-8B99F9411A54}"/>
            </c:ext>
          </c:extLst>
        </c:ser>
        <c:dLbls>
          <c:showLegendKey val="0"/>
          <c:showVal val="0"/>
          <c:showCatName val="0"/>
          <c:showSerName val="0"/>
          <c:showPercent val="0"/>
          <c:showBubbleSize val="0"/>
        </c:dLbls>
        <c:gapWidth val="65"/>
        <c:shape val="box"/>
        <c:axId val="1699598240"/>
        <c:axId val="2069556432"/>
        <c:axId val="0"/>
      </c:bar3DChart>
      <c:catAx>
        <c:axId val="16995982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9556432"/>
        <c:crosses val="autoZero"/>
        <c:auto val="1"/>
        <c:lblAlgn val="ctr"/>
        <c:lblOffset val="100"/>
        <c:noMultiLvlLbl val="0"/>
      </c:catAx>
      <c:valAx>
        <c:axId val="2069556432"/>
        <c:scaling>
          <c:orientation val="minMax"/>
        </c:scaling>
        <c:delete val="1"/>
        <c:axPos val="l"/>
        <c:numFmt formatCode="General" sourceLinked="1"/>
        <c:majorTickMark val="none"/>
        <c:minorTickMark val="none"/>
        <c:tickLblPos val="nextTo"/>
        <c:crossAx val="16995982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Sheet2!$G$10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E8-46D4-8099-42F61367CFE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Sheet2!$G$11</c:f>
              <c:strCache>
                <c:ptCount val="1"/>
                <c:pt idx="0">
                  <c:v>Total</c:v>
                </c:pt>
              </c:strCache>
            </c:strRef>
          </c:cat>
          <c:val>
            <c:numRef>
              <c:f>Sheet2!$G$11</c:f>
              <c:numCache>
                <c:formatCode>General</c:formatCode>
                <c:ptCount val="1"/>
                <c:pt idx="0">
                  <c:v>5019265.2300000004</c:v>
                </c:pt>
              </c:numCache>
            </c:numRef>
          </c:val>
          <c:extLst>
            <c:ext xmlns:c16="http://schemas.microsoft.com/office/drawing/2014/chart" uri="{C3380CC4-5D6E-409C-BE32-E72D297353CC}">
              <c16:uniqueId val="{00000002-C7E8-46D4-8099-42F61367CFE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30480</xdr:colOff>
      <xdr:row>4</xdr:row>
      <xdr:rowOff>106680</xdr:rowOff>
    </xdr:from>
    <xdr:to>
      <xdr:col>6</xdr:col>
      <xdr:colOff>38100</xdr:colOff>
      <xdr:row>16</xdr:row>
      <xdr:rowOff>53340</xdr:rowOff>
    </xdr:to>
    <xdr:graphicFrame macro="">
      <xdr:nvGraphicFramePr>
        <xdr:cNvPr id="2" name="Chart 1">
          <a:extLst>
            <a:ext uri="{FF2B5EF4-FFF2-40B4-BE49-F238E27FC236}">
              <a16:creationId xmlns:a16="http://schemas.microsoft.com/office/drawing/2014/main" id="{9386BC30-1D85-41D5-9981-04114B3E5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16</xdr:row>
      <xdr:rowOff>137160</xdr:rowOff>
    </xdr:from>
    <xdr:to>
      <xdr:col>6</xdr:col>
      <xdr:colOff>53340</xdr:colOff>
      <xdr:row>28</xdr:row>
      <xdr:rowOff>0</xdr:rowOff>
    </xdr:to>
    <xdr:graphicFrame macro="">
      <xdr:nvGraphicFramePr>
        <xdr:cNvPr id="3" name="Chart 2">
          <a:extLst>
            <a:ext uri="{FF2B5EF4-FFF2-40B4-BE49-F238E27FC236}">
              <a16:creationId xmlns:a16="http://schemas.microsoft.com/office/drawing/2014/main" id="{9443912D-EDA7-4C40-B41D-763DEDD1C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91440</xdr:colOff>
      <xdr:row>16</xdr:row>
      <xdr:rowOff>167640</xdr:rowOff>
    </xdr:from>
    <xdr:to>
      <xdr:col>11</xdr:col>
      <xdr:colOff>152400</xdr:colOff>
      <xdr:row>27</xdr:row>
      <xdr:rowOff>175260</xdr:rowOff>
    </xdr:to>
    <xdr:graphicFrame macro="">
      <xdr:nvGraphicFramePr>
        <xdr:cNvPr id="4" name="Chart 3">
          <a:extLst>
            <a:ext uri="{FF2B5EF4-FFF2-40B4-BE49-F238E27FC236}">
              <a16:creationId xmlns:a16="http://schemas.microsoft.com/office/drawing/2014/main" id="{AFDE0E74-E263-4EB5-8447-C045BCDD3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83820</xdr:colOff>
      <xdr:row>4</xdr:row>
      <xdr:rowOff>99060</xdr:rowOff>
    </xdr:from>
    <xdr:to>
      <xdr:col>11</xdr:col>
      <xdr:colOff>144780</xdr:colOff>
      <xdr:row>16</xdr:row>
      <xdr:rowOff>53340</xdr:rowOff>
    </xdr:to>
    <xdr:graphicFrame macro="">
      <xdr:nvGraphicFramePr>
        <xdr:cNvPr id="5" name="Chart 4">
          <a:extLst>
            <a:ext uri="{FF2B5EF4-FFF2-40B4-BE49-F238E27FC236}">
              <a16:creationId xmlns:a16="http://schemas.microsoft.com/office/drawing/2014/main" id="{C9082074-B55C-473A-98C7-F98422923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213360</xdr:colOff>
      <xdr:row>4</xdr:row>
      <xdr:rowOff>99060</xdr:rowOff>
    </xdr:from>
    <xdr:to>
      <xdr:col>15</xdr:col>
      <xdr:colOff>586740</xdr:colOff>
      <xdr:row>16</xdr:row>
      <xdr:rowOff>53340</xdr:rowOff>
    </xdr:to>
    <xdr:graphicFrame macro="">
      <xdr:nvGraphicFramePr>
        <xdr:cNvPr id="6" name="Chart 5">
          <a:extLst>
            <a:ext uri="{FF2B5EF4-FFF2-40B4-BE49-F238E27FC236}">
              <a16:creationId xmlns:a16="http://schemas.microsoft.com/office/drawing/2014/main" id="{93215647-1719-4A8B-A9C5-D8E721413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236220</xdr:colOff>
      <xdr:row>17</xdr:row>
      <xdr:rowOff>0</xdr:rowOff>
    </xdr:from>
    <xdr:to>
      <xdr:col>16</xdr:col>
      <xdr:colOff>0</xdr:colOff>
      <xdr:row>27</xdr:row>
      <xdr:rowOff>175260</xdr:rowOff>
    </xdr:to>
    <xdr:graphicFrame macro="">
      <xdr:nvGraphicFramePr>
        <xdr:cNvPr id="7" name="Chart 6">
          <a:extLst>
            <a:ext uri="{FF2B5EF4-FFF2-40B4-BE49-F238E27FC236}">
              <a16:creationId xmlns:a16="http://schemas.microsoft.com/office/drawing/2014/main" id="{E5B96E9B-3696-4AC5-BF8E-8CAC8F399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83820</xdr:colOff>
      <xdr:row>4</xdr:row>
      <xdr:rowOff>99060</xdr:rowOff>
    </xdr:from>
    <xdr:to>
      <xdr:col>21</xdr:col>
      <xdr:colOff>15240</xdr:colOff>
      <xdr:row>16</xdr:row>
      <xdr:rowOff>91440</xdr:rowOff>
    </xdr:to>
    <xdr:graphicFrame macro="">
      <xdr:nvGraphicFramePr>
        <xdr:cNvPr id="8" name="Chart 7">
          <a:extLst>
            <a:ext uri="{FF2B5EF4-FFF2-40B4-BE49-F238E27FC236}">
              <a16:creationId xmlns:a16="http://schemas.microsoft.com/office/drawing/2014/main" id="{182A76AD-5731-46A2-A462-D37967B96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106680</xdr:colOff>
      <xdr:row>17</xdr:row>
      <xdr:rowOff>7620</xdr:rowOff>
    </xdr:from>
    <xdr:to>
      <xdr:col>21</xdr:col>
      <xdr:colOff>15240</xdr:colOff>
      <xdr:row>28</xdr:row>
      <xdr:rowOff>22860</xdr:rowOff>
    </xdr:to>
    <xdr:graphicFrame macro="">
      <xdr:nvGraphicFramePr>
        <xdr:cNvPr id="9" name="Chart 8">
          <a:extLst>
            <a:ext uri="{FF2B5EF4-FFF2-40B4-BE49-F238E27FC236}">
              <a16:creationId xmlns:a16="http://schemas.microsoft.com/office/drawing/2014/main" id="{78070DC9-9FEF-4247-9AA8-8103798C8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60960</xdr:colOff>
      <xdr:row>4</xdr:row>
      <xdr:rowOff>137161</xdr:rowOff>
    </xdr:from>
    <xdr:to>
      <xdr:col>24</xdr:col>
      <xdr:colOff>60960</xdr:colOff>
      <xdr:row>10</xdr:row>
      <xdr:rowOff>53341</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37A2481C-9149-4276-8405-6CCF3E5D65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862560" y="868681"/>
              <a:ext cx="182880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632297222219" createdVersion="8" refreshedVersion="8" minRefreshableVersion="3" recordCount="4" xr:uid="{CCB80D9F-84B8-4457-B0A5-4EA9E6B1B0F8}">
  <cacheSource type="worksheet">
    <worksheetSource name="Category_by__Revenu"/>
  </cacheSource>
  <cacheFields count="2">
    <cacheField name="Product_Category" numFmtId="0">
      <sharedItems count="4">
        <s v="Clothing"/>
        <s v="Furniture"/>
        <s v="Electronics"/>
        <s v="Food"/>
      </sharedItems>
    </cacheField>
    <cacheField name="Revenue" numFmtId="0">
      <sharedItems containsSemiMixedTypes="0" containsString="0" containsNumber="1" minValue="1201773.54" maxValue="1313474.36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650773726855" createdVersion="8" refreshedVersion="8" minRefreshableVersion="3" recordCount="4" xr:uid="{C6B1B634-58AC-47A6-B5BE-6E15D6D541B5}">
  <cacheSource type="worksheet">
    <worksheetSource name="Category_by_Quantity"/>
  </cacheSource>
  <cacheFields count="2">
    <cacheField name="Product_Category" numFmtId="0">
      <sharedItems count="4">
        <s v="Clothing"/>
        <s v="Furniture"/>
        <s v="Electronics"/>
        <s v="Food"/>
      </sharedItems>
    </cacheField>
    <cacheField name="Total_Units" numFmtId="0">
      <sharedItems containsSemiMixedTypes="0" containsString="0" containsNumber="1" containsInteger="1" minValue="5608" maxValue="692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655011805553" createdVersion="8" refreshedVersion="8" minRefreshableVersion="3" recordCount="13" xr:uid="{BDEA3EC5-BABF-4C07-8E93-18BA39732B75}">
  <cacheSource type="worksheet">
    <worksheetSource name="Monthly_Sales_Trends"/>
  </cacheSource>
  <cacheFields count="3">
    <cacheField name="Year" numFmtId="0">
      <sharedItems containsSemiMixedTypes="0" containsString="0" containsNumber="1" containsInteger="1" minValue="2023" maxValue="2024" count="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Monthly_Revenue" numFmtId="0">
      <sharedItems containsSemiMixedTypes="0" containsString="0" containsNumber="1" minValue="19328.009999999998" maxValue="476092.36" count="13">
        <n v="476092.36"/>
        <n v="368919.36"/>
        <n v="402638.77"/>
        <n v="438992.61"/>
        <n v="389078.76"/>
        <n v="418458.34"/>
        <n v="374242.88"/>
        <n v="443171.28"/>
        <n v="367837.6"/>
        <n v="460378.78"/>
        <n v="467482.9"/>
        <n v="392643.58"/>
        <n v="19328.009999999998"/>
      </sharedItems>
    </cacheField>
  </cacheFields>
  <extLst>
    <ext xmlns:x14="http://schemas.microsoft.com/office/spreadsheetml/2009/9/main" uri="{725AE2AE-9491-48be-B2B4-4EB974FC3084}">
      <x14:pivotCacheDefinition pivotCacheId="112247266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667285416668" createdVersion="8" refreshedVersion="8" minRefreshableVersion="3" recordCount="2" xr:uid="{D123ACDE-83EC-4540-92A9-B38590963C70}">
  <cacheSource type="worksheet">
    <worksheetSource name="Most_used_Payment_Method"/>
  </cacheSource>
  <cacheFields count="2">
    <cacheField name="Sales_Channel" numFmtId="0">
      <sharedItems count="2">
        <s v="Retail"/>
        <s v="Online"/>
      </sharedItems>
    </cacheField>
    <cacheField name="Revenue" numFmtId="0">
      <sharedItems containsSemiMixedTypes="0" containsString="0" containsNumber="1" minValue="2458833.9300000002" maxValue="2560431.299999999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670328472224" createdVersion="8" refreshedVersion="8" minRefreshableVersion="3" recordCount="4" xr:uid="{95A56829-5826-4AB7-B046-2742DB06CF9B}">
  <cacheSource type="worksheet">
    <worksheetSource name="Revenue_by_Region"/>
  </cacheSource>
  <cacheFields count="2">
    <cacheField name="Region" numFmtId="0">
      <sharedItems count="4">
        <s v="North"/>
        <s v="East"/>
        <s v="West"/>
        <s v="South"/>
      </sharedItems>
    </cacheField>
    <cacheField name="Revenue" numFmtId="0">
      <sharedItems containsSemiMixedTypes="0" containsString="0" containsNumber="1" minValue="1154250.8600000001" maxValue="1369612.5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673781597223" createdVersion="8" refreshedVersion="8" minRefreshableVersion="3" recordCount="1" xr:uid="{204893FD-55FE-4121-9D21-8EE5187CF1A1}">
  <cacheSource type="worksheet">
    <worksheetSource name="Sales_amount_By_total_Revenu"/>
  </cacheSource>
  <cacheFields count="1">
    <cacheField name="Total_Revenue" numFmtId="0">
      <sharedItems containsSemiMixedTypes="0" containsString="0" containsNumber="1" minValue="5019265.2300000004" maxValue="5019265.2300000004" count="1">
        <n v="5019265.2300000004"/>
      </sharedItems>
    </cacheField>
  </cacheFields>
  <extLst>
    <ext xmlns:x14="http://schemas.microsoft.com/office/spreadsheetml/2009/9/main" uri="{725AE2AE-9491-48be-B2B4-4EB974FC3084}">
      <x14:pivotCacheDefinition pivotCacheId="132309368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675845370373" createdVersion="8" refreshedVersion="8" minRefreshableVersion="3" recordCount="5" xr:uid="{0562AEC1-2B61-4B9B-996D-89F20C7B6F7D}">
  <cacheSource type="worksheet">
    <worksheetSource name="Sales_Rep_by_orders_handled"/>
  </cacheSource>
  <cacheFields count="2">
    <cacheField name="Sales_Rep" numFmtId="0">
      <sharedItems count="5">
        <s v="David"/>
        <s v="Eve"/>
        <s v="Bob"/>
        <s v="Alice"/>
        <s v="Charlie"/>
      </sharedItems>
    </cacheField>
    <cacheField name="Orders_handled" numFmtId="0">
      <sharedItems containsSemiMixedTypes="0" containsString="0" containsNumber="1" containsInteger="1" minValue="169" maxValue="22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679500578706" createdVersion="8" refreshedVersion="8" minRefreshableVersion="3" recordCount="4" xr:uid="{71347E1D-3AFA-47C0-8A55-4B4434CC3F4F}">
  <cacheSource type="worksheet">
    <worksheetSource name="Category_with_the_highest_Revenue_by_Discount"/>
  </cacheSource>
  <cacheFields count="3">
    <cacheField name="Product_Category" numFmtId="0">
      <sharedItems count="4">
        <s v="Clothing"/>
        <s v="Furniture"/>
        <s v="Electronics"/>
        <s v="Food"/>
      </sharedItems>
    </cacheField>
    <cacheField name="Total_Revenue" numFmtId="0">
      <sharedItems containsSemiMixedTypes="0" containsString="0" containsNumber="1" minValue="1201773.54" maxValue="1313474.3600000001"/>
    </cacheField>
    <cacheField name="Average_Discount" numFmtId="0">
      <sharedItems containsSemiMixedTypes="0" containsString="0" containsNumber="1" minValue="0.13650399999999999" maxValue="0.16022400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313474.3600000001"/>
  </r>
  <r>
    <x v="1"/>
    <n v="1260517.69"/>
  </r>
  <r>
    <x v="2"/>
    <n v="1243499.6399999999"/>
  </r>
  <r>
    <x v="3"/>
    <n v="1201773.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6922"/>
  </r>
  <r>
    <x v="1"/>
    <n v="6729"/>
  </r>
  <r>
    <x v="2"/>
    <n v="6096"/>
  </r>
  <r>
    <x v="3"/>
    <n v="560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x v="0"/>
  </r>
  <r>
    <x v="0"/>
    <x v="1"/>
    <x v="1"/>
  </r>
  <r>
    <x v="0"/>
    <x v="2"/>
    <x v="2"/>
  </r>
  <r>
    <x v="0"/>
    <x v="3"/>
    <x v="3"/>
  </r>
  <r>
    <x v="0"/>
    <x v="4"/>
    <x v="4"/>
  </r>
  <r>
    <x v="0"/>
    <x v="5"/>
    <x v="5"/>
  </r>
  <r>
    <x v="0"/>
    <x v="6"/>
    <x v="6"/>
  </r>
  <r>
    <x v="0"/>
    <x v="7"/>
    <x v="7"/>
  </r>
  <r>
    <x v="0"/>
    <x v="8"/>
    <x v="8"/>
  </r>
  <r>
    <x v="0"/>
    <x v="9"/>
    <x v="9"/>
  </r>
  <r>
    <x v="0"/>
    <x v="10"/>
    <x v="10"/>
  </r>
  <r>
    <x v="0"/>
    <x v="11"/>
    <x v="11"/>
  </r>
  <r>
    <x v="1"/>
    <x v="0"/>
    <x v="1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2560431.2999999998"/>
  </r>
  <r>
    <x v="1"/>
    <n v="2458833.930000000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369612.51"/>
  </r>
  <r>
    <x v="1"/>
    <n v="1259792.93"/>
  </r>
  <r>
    <x v="2"/>
    <n v="1235608.93"/>
  </r>
  <r>
    <x v="3"/>
    <n v="1154250.860000000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22"/>
  </r>
  <r>
    <x v="1"/>
    <n v="209"/>
  </r>
  <r>
    <x v="2"/>
    <n v="208"/>
  </r>
  <r>
    <x v="3"/>
    <n v="192"/>
  </r>
  <r>
    <x v="4"/>
    <n v="169"/>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313474.3600000001"/>
    <n v="0.16022400000000001"/>
  </r>
  <r>
    <x v="1"/>
    <n v="1260517.69"/>
    <n v="0.15811500000000001"/>
  </r>
  <r>
    <x v="2"/>
    <n v="1243499.6399999999"/>
    <n v="0.13650399999999999"/>
  </r>
  <r>
    <x v="3"/>
    <n v="1201773.54"/>
    <n v="0.1538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8143D-517E-46BC-9F8F-C43C939BCECD}" name="PivotTable27"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0:G11" firstHeaderRow="1" firstDataRow="1" firstDataCol="0"/>
  <pivotFields count="1">
    <pivotField dataField="1" showAll="0">
      <items count="2">
        <item x="0"/>
        <item t="default"/>
      </items>
    </pivotField>
  </pivotFields>
  <rowItems count="1">
    <i/>
  </rowItems>
  <colItems count="1">
    <i/>
  </colItems>
  <dataFields count="1">
    <dataField name="Sum of Total_Revenue" fld="0" baseField="0" baseItem="0"/>
  </dataFields>
  <chartFormats count="2">
    <chartFormat chart="7" format="3" series="1">
      <pivotArea type="data" outline="0" fieldPosition="0">
        <references count="1">
          <reference field="4294967294" count="1" selected="0">
            <x v="0"/>
          </reference>
        </references>
      </pivotArea>
    </chartFormat>
    <chartFormat chart="7"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33A4D-0E0A-4DB1-B775-B809C2EBE5E1}" name="PivotTable2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G3:I8" firstHeaderRow="0" firstDataRow="1" firstDataCol="1"/>
  <pivotFields count="3">
    <pivotField axis="axisRow" showAll="0">
      <items count="5">
        <item x="0"/>
        <item x="2"/>
        <item x="3"/>
        <item x="1"/>
        <item t="default"/>
      </items>
    </pivotField>
    <pivotField dataField="1" showAll="0"/>
    <pivotField dataField="1" showAll="0"/>
  </pivotFields>
  <rowFields count="1">
    <field x="0"/>
  </rowFields>
  <rowItems count="5">
    <i>
      <x/>
    </i>
    <i>
      <x v="1"/>
    </i>
    <i>
      <x v="2"/>
    </i>
    <i>
      <x v="3"/>
    </i>
    <i t="grand">
      <x/>
    </i>
  </rowItems>
  <colFields count="1">
    <field x="-2"/>
  </colFields>
  <colItems count="2">
    <i>
      <x/>
    </i>
    <i i="1">
      <x v="1"/>
    </i>
  </colItems>
  <dataFields count="2">
    <dataField name="Sum of Total_Revenue" fld="1" baseField="0" baseItem="0"/>
    <dataField name="Sum of Average_Discount" fld="2" baseField="0" baseItem="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B16393-D71F-4F7F-ADF0-A405EAE79180}" name="PivotTable25"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_Rep">
  <location ref="D18:E24" firstHeaderRow="1" firstDataRow="1" firstDataCol="1"/>
  <pivotFields count="2">
    <pivotField axis="axisRow" showAll="0" sortType="descending">
      <items count="6">
        <item x="3"/>
        <item x="2"/>
        <item x="4"/>
        <item x="0"/>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3"/>
    </i>
    <i>
      <x v="4"/>
    </i>
    <i>
      <x v="1"/>
    </i>
    <i>
      <x/>
    </i>
    <i>
      <x v="2"/>
    </i>
    <i t="grand">
      <x/>
    </i>
  </rowItems>
  <colItems count="1">
    <i/>
  </colItems>
  <dataFields count="1">
    <dataField name="Sum of Orders_handled"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A2B656-D5F9-4735-82BF-404AB492E8BE}" name="PivotTable2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5:D16" firstHeaderRow="1" firstDataRow="1" firstDataCol="0"/>
  <pivotFields count="1">
    <pivotField dataField="1" showAll="0"/>
  </pivotFields>
  <rowItems count="1">
    <i/>
  </rowItems>
  <colItems count="1">
    <i/>
  </colItems>
  <dataFields count="1">
    <dataField name="Sum of Total_Revenu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D3BF9-F684-4DC0-AB32-043324B9A3BC}" name="PivotTable2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D8:E13" firstHeaderRow="1" firstDataRow="1" firstDataCol="1"/>
  <pivotFields count="2">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1"/>
    </i>
    <i>
      <x/>
    </i>
    <i>
      <x v="3"/>
    </i>
    <i>
      <x v="2"/>
    </i>
    <i t="grand">
      <x/>
    </i>
  </rowItems>
  <colItems count="1">
    <i/>
  </colItems>
  <dataFields count="1">
    <dataField name="Sum of Revenue" fld="1"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34FD5-316E-4267-8375-0DB878AA66A4}" name="PivotTable2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_Channel">
  <location ref="D3:E6" firstHeaderRow="1" firstDataRow="1" firstDataCol="1"/>
  <pivotFields count="2">
    <pivotField axis="axisRow" showAll="0">
      <items count="3">
        <item x="1"/>
        <item x="0"/>
        <item t="default"/>
      </items>
    </pivotField>
    <pivotField dataField="1" showAll="0"/>
  </pivotFields>
  <rowFields count="1">
    <field x="0"/>
  </rowFields>
  <rowItems count="3">
    <i>
      <x/>
    </i>
    <i>
      <x v="1"/>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9372F4-CC86-4905-86DA-435790734CB6}" name="PivotTable21" cacheId="5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Monthly_trend">
  <location ref="A17:B31" firstHeaderRow="1" firstDataRow="1" firstDataCol="1"/>
  <pivotFields count="3">
    <pivotField axis="axisRow" showAll="0" sortType="ascending">
      <items count="3">
        <item x="0"/>
        <item h="1" x="1"/>
        <item t="default"/>
      </items>
    </pivotField>
    <pivotField axis="axisRow" showAll="0">
      <items count="13">
        <item x="0"/>
        <item x="1"/>
        <item x="2"/>
        <item x="3"/>
        <item x="4"/>
        <item x="5"/>
        <item x="6"/>
        <item x="7"/>
        <item x="8"/>
        <item x="9"/>
        <item x="10"/>
        <item x="11"/>
        <item t="default"/>
      </items>
    </pivotField>
    <pivotField dataField="1" showAll="0">
      <items count="14">
        <item x="12"/>
        <item x="8"/>
        <item x="1"/>
        <item x="6"/>
        <item x="4"/>
        <item x="11"/>
        <item x="2"/>
        <item x="5"/>
        <item x="3"/>
        <item x="7"/>
        <item x="9"/>
        <item x="10"/>
        <item x="0"/>
        <item t="default"/>
      </items>
    </pivotField>
  </pivotFields>
  <rowFields count="2">
    <field x="0"/>
    <field x="1"/>
  </rowFields>
  <rowItems count="14">
    <i>
      <x/>
    </i>
    <i r="1">
      <x/>
    </i>
    <i r="1">
      <x v="1"/>
    </i>
    <i r="1">
      <x v="2"/>
    </i>
    <i r="1">
      <x v="3"/>
    </i>
    <i r="1">
      <x v="4"/>
    </i>
    <i r="1">
      <x v="5"/>
    </i>
    <i r="1">
      <x v="6"/>
    </i>
    <i r="1">
      <x v="7"/>
    </i>
    <i r="1">
      <x v="8"/>
    </i>
    <i r="1">
      <x v="9"/>
    </i>
    <i r="1">
      <x v="10"/>
    </i>
    <i r="1">
      <x v="11"/>
    </i>
    <i t="grand">
      <x/>
    </i>
  </rowItems>
  <colItems count="1">
    <i/>
  </colItems>
  <dataFields count="1">
    <dataField name="Sum of Monthly_Revenue" fld="2"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C29105-CFC1-4D92-B44E-FEF4C3ED6AFF}" name="PivotTable19"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_Category">
  <location ref="A10:B15" firstHeaderRow="1" firstDataRow="1" firstDataCol="1"/>
  <pivotFields count="2">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i>
    <i>
      <x v="3"/>
    </i>
    <i>
      <x v="1"/>
    </i>
    <i>
      <x v="2"/>
    </i>
    <i t="grand">
      <x/>
    </i>
  </rowItems>
  <colItems count="1">
    <i/>
  </colItems>
  <dataFields count="1">
    <dataField name="Sum of Total_Unit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D77A76-42E2-48D1-9FD4-3B07491A5D16}" name="PivotTable1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_Category">
  <location ref="A3:B8" firstHeaderRow="1" firstDataRow="1" firstDataCol="1"/>
  <pivotFields count="2">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i>
    <i>
      <x v="3"/>
    </i>
    <i>
      <x v="1"/>
    </i>
    <i>
      <x v="2"/>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42C21AE-2F13-441F-8135-FA76A779AAC3}" autoFormatId="16" applyNumberFormats="0" applyBorderFormats="0" applyFontFormats="0" applyPatternFormats="0" applyAlignmentFormats="0" applyWidthHeightFormats="0">
  <queryTableRefresh nextId="3">
    <queryTableFields count="2">
      <queryTableField id="1" name="Product_Category" tableColumnId="1"/>
      <queryTableField id="2" name="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AB8737A1-5765-4C12-8CB5-F0EC044D1115}" autoFormatId="16" applyNumberFormats="0" applyBorderFormats="0" applyFontFormats="0" applyPatternFormats="0" applyAlignmentFormats="0" applyWidthHeightFormats="0">
  <queryTableRefresh nextId="3">
    <queryTableFields count="2">
      <queryTableField id="1" name="Product_Category" tableColumnId="1"/>
      <queryTableField id="2" name="Total_Unit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C9AF0F88-6D06-4877-9D48-331C8DE2137D}" autoFormatId="16" applyNumberFormats="0" applyBorderFormats="0" applyFontFormats="0" applyPatternFormats="0" applyAlignmentFormats="0" applyWidthHeightFormats="0">
  <queryTableRefresh nextId="4">
    <queryTableFields count="3">
      <queryTableField id="1" name="Year" tableColumnId="1"/>
      <queryTableField id="2" name="Month" tableColumnId="2"/>
      <queryTableField id="3" name="Monthly_Revenu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B36D4475-FAF6-4951-9A23-D01C5FBC4514}" autoFormatId="16" applyNumberFormats="0" applyBorderFormats="0" applyFontFormats="0" applyPatternFormats="0" applyAlignmentFormats="0" applyWidthHeightFormats="0">
  <queryTableRefresh nextId="3">
    <queryTableFields count="2">
      <queryTableField id="1" name="Sales_Channel" tableColumnId="1"/>
      <queryTableField id="2" name="Revenu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39F7C5EF-32D8-45AC-B36F-6DEC719B3FAA}" autoFormatId="16" applyNumberFormats="0" applyBorderFormats="0" applyFontFormats="0" applyPatternFormats="0" applyAlignmentFormats="0" applyWidthHeightFormats="0">
  <queryTableRefresh nextId="3">
    <queryTableFields count="2">
      <queryTableField id="1" name="Region" tableColumnId="1"/>
      <queryTableField id="2" name="Revenu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0A383AD9-C5AA-49D6-9647-32B823DAE119}" autoFormatId="16" applyNumberFormats="0" applyBorderFormats="0" applyFontFormats="0" applyPatternFormats="0" applyAlignmentFormats="0" applyWidthHeightFormats="0">
  <queryTableRefresh nextId="2">
    <queryTableFields count="1">
      <queryTableField id="1" name="Total_Revenue" tableColumnId="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9" xr16:uid="{5B8BD2D6-8C91-42ED-8141-3DEB87E2467A}" autoFormatId="16" applyNumberFormats="0" applyBorderFormats="0" applyFontFormats="0" applyPatternFormats="0" applyAlignmentFormats="0" applyWidthHeightFormats="0">
  <queryTableRefresh nextId="3">
    <queryTableFields count="2">
      <queryTableField id="1" name="Sales_Channel" tableColumnId="1"/>
      <queryTableField id="2" name="Revenue"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0" xr16:uid="{86B4CAAE-19A9-4582-9276-33B7C93BFFE6}" autoFormatId="16" applyNumberFormats="0" applyBorderFormats="0" applyFontFormats="0" applyPatternFormats="0" applyAlignmentFormats="0" applyWidthHeightFormats="0">
  <queryTableRefresh nextId="3">
    <queryTableFields count="2">
      <queryTableField id="1" name="Sales_Rep" tableColumnId="1"/>
      <queryTableField id="2" name="Orders_handled"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 xr16:uid="{6E42FDE8-0394-4D7B-8483-912B984B81ED}" autoFormatId="16" applyNumberFormats="0" applyBorderFormats="0" applyFontFormats="0" applyPatternFormats="0" applyAlignmentFormats="0" applyWidthHeightFormats="0">
  <queryTableRefresh nextId="4">
    <queryTableFields count="3">
      <queryTableField id="1" name="Product_Category" tableColumnId="1"/>
      <queryTableField id="2" name="Total_Revenue" tableColumnId="2"/>
      <queryTableField id="3" name="Average_Discoun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48B7A8-A4C8-4282-936D-2500A6CEAE24}" sourceName="Year">
  <pivotTables>
    <pivotTable tabId="12" name="PivotTable21"/>
  </pivotTables>
  <data>
    <tabular pivotCacheId="1122472662">
      <items count="2">
        <i x="0" s="1"/>
        <i x="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72FD249-7872-4076-B808-8569B8952AF3}" cache="Slicer_Year" caption="Year"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5844B4-98CC-4A39-8247-457148071FC0}" name="Category_by__Revenu" displayName="Category_by__Revenu" ref="A1:B5" tableType="queryTable" totalsRowShown="0">
  <autoFilter ref="A1:B5" xr:uid="{EE5844B4-98CC-4A39-8247-457148071FC0}"/>
  <tableColumns count="2">
    <tableColumn id="1" xr3:uid="{BD24015C-8C96-423D-8725-7C4CC5C54298}" uniqueName="1" name="Product_Category" queryTableFieldId="1" dataDxfId="6"/>
    <tableColumn id="2" xr3:uid="{4148D571-4877-4563-8700-9E3549D38EAD}" uniqueName="2" name="Revenu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82E401-1539-4440-8662-DDA5E95495C6}" name="Category_by_Quantity" displayName="Category_by_Quantity" ref="A1:B5" tableType="queryTable" totalsRowShown="0">
  <autoFilter ref="A1:B5" xr:uid="{0C82E401-1539-4440-8662-DDA5E95495C6}"/>
  <tableColumns count="2">
    <tableColumn id="1" xr3:uid="{DF7B5F45-FDC9-42CB-80E6-42811EF01E17}" uniqueName="1" name="Product_Category" queryTableFieldId="1" dataDxfId="5"/>
    <tableColumn id="2" xr3:uid="{E47E7BC0-B1A7-44A9-A5D0-D2DCD593A8D3}" uniqueName="2" name="Total_Units"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1E9C97-1AFF-4C78-888C-6C351C2D10A1}" name="Monthly_Sales_Trends" displayName="Monthly_Sales_Trends" ref="A1:C14" tableType="queryTable" totalsRowShown="0">
  <autoFilter ref="A1:C14" xr:uid="{E61E9C97-1AFF-4C78-888C-6C351C2D10A1}"/>
  <tableColumns count="3">
    <tableColumn id="1" xr3:uid="{14BFD705-7AA1-4A22-BA5E-9FF3F94570C4}" uniqueName="1" name="Year" queryTableFieldId="1"/>
    <tableColumn id="2" xr3:uid="{96D9FEED-9D00-41BA-8EEC-585B710CEBF0}" uniqueName="2" name="Month" queryTableFieldId="2"/>
    <tableColumn id="3" xr3:uid="{49410E74-6058-40C3-BA0E-B8905661FC21}" uniqueName="3" name="Monthly_Revenu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FF9CF6-8E29-4745-8805-E91103D4F85E}" name="Most_used_Payment_Method" displayName="Most_used_Payment_Method" ref="A1:B3" tableType="queryTable" totalsRowShown="0">
  <autoFilter ref="A1:B3" xr:uid="{D5FF9CF6-8E29-4745-8805-E91103D4F85E}"/>
  <tableColumns count="2">
    <tableColumn id="1" xr3:uid="{31D24D46-CE85-41FA-9090-5D97D12B5359}" uniqueName="1" name="Sales_Channel" queryTableFieldId="1" dataDxfId="4"/>
    <tableColumn id="2" xr3:uid="{B313E0E0-A160-4B3D-A273-DDE45FDB3238}" uniqueName="2" name="Revenue"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DEDE80-E914-4F8E-965B-FF510BFE87F7}" name="Revenue_by_Region" displayName="Revenue_by_Region" ref="A1:B5" tableType="queryTable" totalsRowShown="0">
  <autoFilter ref="A1:B5" xr:uid="{1FDEDE80-E914-4F8E-965B-FF510BFE87F7}"/>
  <tableColumns count="2">
    <tableColumn id="1" xr3:uid="{EAF16AAE-38C7-4005-8238-F6E72BE192A8}" uniqueName="1" name="Region" queryTableFieldId="1" dataDxfId="3"/>
    <tableColumn id="2" xr3:uid="{8F23388B-9CBD-4247-92F5-ABA6F0BD5EC3}" uniqueName="2" name="Revenue"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4CA5C2-0FAE-402F-8EFE-ADD333B4DB3F}" name="Sales_amount_By_total_Revenu" displayName="Sales_amount_By_total_Revenu" ref="A1:A2" tableType="queryTable" totalsRowShown="0">
  <autoFilter ref="A1:A2" xr:uid="{474CA5C2-0FAE-402F-8EFE-ADD333B4DB3F}"/>
  <tableColumns count="1">
    <tableColumn id="1" xr3:uid="{0961E5E5-4A86-4F7E-87CD-EC23450B4184}" uniqueName="1" name="Total_Revenue" queryTableField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4BE5D7-3400-4F03-BBD7-36F767B04CDF}" name="Sales_Channel_by_Revenue" displayName="Sales_Channel_by_Revenue" ref="A1:B3" tableType="queryTable" totalsRowShown="0">
  <autoFilter ref="A1:B3" xr:uid="{C44BE5D7-3400-4F03-BBD7-36F767B04CDF}"/>
  <tableColumns count="2">
    <tableColumn id="1" xr3:uid="{85E88FE7-FB14-4CA7-8C3E-E11DFC100451}" uniqueName="1" name="Sales_Channel" queryTableFieldId="1" dataDxfId="2"/>
    <tableColumn id="2" xr3:uid="{386A2BB4-6AB8-45B5-8B75-63F2088597B3}" uniqueName="2" name="Revenue"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733ADA-F5D1-46B6-87C5-981902AA0099}" name="Sales_Rep_by_orders_handled" displayName="Sales_Rep_by_orders_handled" ref="A1:B6" tableType="queryTable" totalsRowShown="0">
  <autoFilter ref="A1:B6" xr:uid="{00733ADA-F5D1-46B6-87C5-981902AA0099}"/>
  <tableColumns count="2">
    <tableColumn id="1" xr3:uid="{94C60006-6D8A-4A42-A087-030C51C24F02}" uniqueName="1" name="Sales_Rep" queryTableFieldId="1" dataDxfId="1"/>
    <tableColumn id="2" xr3:uid="{0807E880-9984-43F1-9677-27CEBFFC0FC2}" uniqueName="2" name="Orders_handled"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35367C-AE46-4D0E-A11F-F2509CA49E2A}" name="Category_with_the_highest_Revenue_by_Discount" displayName="Category_with_the_highest_Revenue_by_Discount" ref="A1:C5" tableType="queryTable" totalsRowShown="0">
  <autoFilter ref="A1:C5" xr:uid="{5735367C-AE46-4D0E-A11F-F2509CA49E2A}"/>
  <tableColumns count="3">
    <tableColumn id="1" xr3:uid="{B71F2F74-0570-422B-9A17-55F7C0E95D9D}" uniqueName="1" name="Product_Category" queryTableFieldId="1" dataDxfId="0"/>
    <tableColumn id="2" xr3:uid="{AFF0C715-9781-448B-8F90-FC3136D15CF0}" uniqueName="2" name="Total_Revenue" queryTableFieldId="2"/>
    <tableColumn id="3" xr3:uid="{AA596CE2-AC0D-4875-B352-B596EFD9334D}" uniqueName="3" name="Average_Discount"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EBB1-E9FC-4542-ACAA-FA5555989A39}">
  <dimension ref="A3:I31"/>
  <sheetViews>
    <sheetView workbookViewId="0">
      <selection activeCell="A17" sqref="A17"/>
    </sheetView>
    <sheetView workbookViewId="1"/>
    <sheetView workbookViewId="2"/>
  </sheetViews>
  <sheetFormatPr defaultRowHeight="14.4" x14ac:dyDescent="0.3"/>
  <cols>
    <col min="1" max="1" width="12.5546875" bestFit="1" customWidth="1"/>
    <col min="2" max="3" width="11.109375" bestFit="1" customWidth="1"/>
    <col min="4" max="4" width="11.6640625" bestFit="1" customWidth="1"/>
    <col min="5" max="5" width="21.109375" bestFit="1" customWidth="1"/>
    <col min="7" max="8" width="20.21875" bestFit="1" customWidth="1"/>
    <col min="9" max="9" width="23" bestFit="1" customWidth="1"/>
  </cols>
  <sheetData>
    <row r="3" spans="1:9" x14ac:dyDescent="0.3">
      <c r="A3" s="2" t="s">
        <v>0</v>
      </c>
      <c r="B3" t="s">
        <v>28</v>
      </c>
      <c r="D3" s="2" t="s">
        <v>10</v>
      </c>
      <c r="E3" t="s">
        <v>28</v>
      </c>
      <c r="G3" s="2" t="s">
        <v>35</v>
      </c>
      <c r="H3" t="s">
        <v>31</v>
      </c>
      <c r="I3" t="s">
        <v>34</v>
      </c>
    </row>
    <row r="4" spans="1:9" x14ac:dyDescent="0.3">
      <c r="A4" s="3" t="s">
        <v>2</v>
      </c>
      <c r="B4" s="1">
        <v>1313474.3600000001</v>
      </c>
      <c r="D4" s="3" t="s">
        <v>12</v>
      </c>
      <c r="E4" s="1">
        <v>2458833.9300000002</v>
      </c>
      <c r="G4" s="3" t="s">
        <v>2</v>
      </c>
      <c r="H4" s="1">
        <v>1313474.3600000001</v>
      </c>
      <c r="I4" s="5">
        <v>0.16022400000000001</v>
      </c>
    </row>
    <row r="5" spans="1:9" x14ac:dyDescent="0.3">
      <c r="A5" s="3" t="s">
        <v>3</v>
      </c>
      <c r="B5" s="1">
        <v>1260517.69</v>
      </c>
      <c r="D5" s="3" t="s">
        <v>11</v>
      </c>
      <c r="E5" s="1">
        <v>2560431.2999999998</v>
      </c>
      <c r="G5" s="3" t="s">
        <v>4</v>
      </c>
      <c r="H5" s="1">
        <v>1243499.6399999999</v>
      </c>
      <c r="I5" s="5">
        <v>0.13650399999999999</v>
      </c>
    </row>
    <row r="6" spans="1:9" x14ac:dyDescent="0.3">
      <c r="A6" s="3" t="s">
        <v>4</v>
      </c>
      <c r="B6" s="1">
        <v>1243499.6399999999</v>
      </c>
      <c r="D6" s="3" t="s">
        <v>27</v>
      </c>
      <c r="E6" s="1">
        <v>5019265.2300000004</v>
      </c>
      <c r="G6" s="3" t="s">
        <v>5</v>
      </c>
      <c r="H6" s="1">
        <v>1201773.54</v>
      </c>
      <c r="I6" s="5">
        <v>0.153805</v>
      </c>
    </row>
    <row r="7" spans="1:9" x14ac:dyDescent="0.3">
      <c r="A7" s="3" t="s">
        <v>5</v>
      </c>
      <c r="B7" s="1">
        <v>1201773.54</v>
      </c>
      <c r="G7" s="3" t="s">
        <v>3</v>
      </c>
      <c r="H7" s="1">
        <v>1260517.69</v>
      </c>
      <c r="I7" s="5">
        <v>0.15811500000000001</v>
      </c>
    </row>
    <row r="8" spans="1:9" x14ac:dyDescent="0.3">
      <c r="A8" s="3" t="s">
        <v>27</v>
      </c>
      <c r="B8" s="1">
        <v>5019265.2300000004</v>
      </c>
      <c r="D8" s="2" t="s">
        <v>13</v>
      </c>
      <c r="E8" t="s">
        <v>28</v>
      </c>
      <c r="G8" s="3" t="s">
        <v>27</v>
      </c>
      <c r="H8" s="1">
        <v>5019265.2300000004</v>
      </c>
      <c r="I8" s="5">
        <v>0.60864799999999997</v>
      </c>
    </row>
    <row r="9" spans="1:9" x14ac:dyDescent="0.3">
      <c r="D9" s="3" t="s">
        <v>14</v>
      </c>
      <c r="E9" s="1">
        <v>1369612.51</v>
      </c>
    </row>
    <row r="10" spans="1:9" x14ac:dyDescent="0.3">
      <c r="A10" s="2" t="s">
        <v>0</v>
      </c>
      <c r="B10" t="s">
        <v>29</v>
      </c>
      <c r="D10" s="3" t="s">
        <v>15</v>
      </c>
      <c r="E10" s="1">
        <v>1259792.93</v>
      </c>
      <c r="G10" t="s">
        <v>31</v>
      </c>
    </row>
    <row r="11" spans="1:9" x14ac:dyDescent="0.3">
      <c r="A11" s="3" t="s">
        <v>2</v>
      </c>
      <c r="B11" s="1">
        <v>6922</v>
      </c>
      <c r="D11" s="3" t="s">
        <v>16</v>
      </c>
      <c r="E11" s="1">
        <v>1235608.93</v>
      </c>
      <c r="G11" s="1">
        <v>5019265.2300000004</v>
      </c>
    </row>
    <row r="12" spans="1:9" x14ac:dyDescent="0.3">
      <c r="A12" s="3" t="s">
        <v>3</v>
      </c>
      <c r="B12" s="1">
        <v>6729</v>
      </c>
      <c r="D12" s="3" t="s">
        <v>17</v>
      </c>
      <c r="E12" s="1">
        <v>1154250.8600000001</v>
      </c>
    </row>
    <row r="13" spans="1:9" x14ac:dyDescent="0.3">
      <c r="A13" s="3" t="s">
        <v>4</v>
      </c>
      <c r="B13" s="1">
        <v>6096</v>
      </c>
      <c r="D13" s="3" t="s">
        <v>27</v>
      </c>
      <c r="E13" s="1">
        <v>5019265.2299999995</v>
      </c>
    </row>
    <row r="14" spans="1:9" x14ac:dyDescent="0.3">
      <c r="A14" s="3" t="s">
        <v>5</v>
      </c>
      <c r="B14" s="1">
        <v>5608</v>
      </c>
    </row>
    <row r="15" spans="1:9" x14ac:dyDescent="0.3">
      <c r="A15" s="3" t="s">
        <v>27</v>
      </c>
      <c r="B15" s="1">
        <v>25355</v>
      </c>
      <c r="D15" t="s">
        <v>31</v>
      </c>
    </row>
    <row r="16" spans="1:9" x14ac:dyDescent="0.3">
      <c r="D16" s="1">
        <v>5019265.2300000004</v>
      </c>
    </row>
    <row r="17" spans="1:5" x14ac:dyDescent="0.3">
      <c r="A17" s="2" t="s">
        <v>33</v>
      </c>
      <c r="B17" t="s">
        <v>30</v>
      </c>
    </row>
    <row r="18" spans="1:5" x14ac:dyDescent="0.3">
      <c r="A18" s="3">
        <v>2023</v>
      </c>
      <c r="B18" s="1">
        <v>4999937.2200000007</v>
      </c>
      <c r="D18" s="2" t="s">
        <v>19</v>
      </c>
      <c r="E18" t="s">
        <v>32</v>
      </c>
    </row>
    <row r="19" spans="1:5" x14ac:dyDescent="0.3">
      <c r="A19" s="4">
        <v>1</v>
      </c>
      <c r="B19" s="1">
        <v>476092.36</v>
      </c>
      <c r="D19" s="3" t="s">
        <v>21</v>
      </c>
      <c r="E19" s="1">
        <v>222</v>
      </c>
    </row>
    <row r="20" spans="1:5" x14ac:dyDescent="0.3">
      <c r="A20" s="4">
        <v>2</v>
      </c>
      <c r="B20" s="1">
        <v>368919.36</v>
      </c>
      <c r="D20" s="3" t="s">
        <v>22</v>
      </c>
      <c r="E20" s="1">
        <v>209</v>
      </c>
    </row>
    <row r="21" spans="1:5" x14ac:dyDescent="0.3">
      <c r="A21" s="4">
        <v>3</v>
      </c>
      <c r="B21" s="1">
        <v>402638.77</v>
      </c>
      <c r="D21" s="3" t="s">
        <v>23</v>
      </c>
      <c r="E21" s="1">
        <v>208</v>
      </c>
    </row>
    <row r="22" spans="1:5" x14ac:dyDescent="0.3">
      <c r="A22" s="4">
        <v>4</v>
      </c>
      <c r="B22" s="1">
        <v>438992.61</v>
      </c>
      <c r="D22" s="3" t="s">
        <v>24</v>
      </c>
      <c r="E22" s="1">
        <v>192</v>
      </c>
    </row>
    <row r="23" spans="1:5" x14ac:dyDescent="0.3">
      <c r="A23" s="4">
        <v>5</v>
      </c>
      <c r="B23" s="1">
        <v>389078.76</v>
      </c>
      <c r="D23" s="3" t="s">
        <v>25</v>
      </c>
      <c r="E23" s="1">
        <v>169</v>
      </c>
    </row>
    <row r="24" spans="1:5" x14ac:dyDescent="0.3">
      <c r="A24" s="4">
        <v>6</v>
      </c>
      <c r="B24" s="1">
        <v>418458.34</v>
      </c>
      <c r="D24" s="3" t="s">
        <v>27</v>
      </c>
      <c r="E24" s="1">
        <v>1000</v>
      </c>
    </row>
    <row r="25" spans="1:5" x14ac:dyDescent="0.3">
      <c r="A25" s="4">
        <v>7</v>
      </c>
      <c r="B25" s="1">
        <v>374242.88</v>
      </c>
    </row>
    <row r="26" spans="1:5" x14ac:dyDescent="0.3">
      <c r="A26" s="4">
        <v>8</v>
      </c>
      <c r="B26" s="1">
        <v>443171.28</v>
      </c>
    </row>
    <row r="27" spans="1:5" x14ac:dyDescent="0.3">
      <c r="A27" s="4">
        <v>9</v>
      </c>
      <c r="B27" s="1">
        <v>367837.6</v>
      </c>
    </row>
    <row r="28" spans="1:5" x14ac:dyDescent="0.3">
      <c r="A28" s="4">
        <v>10</v>
      </c>
      <c r="B28" s="1">
        <v>460378.78</v>
      </c>
    </row>
    <row r="29" spans="1:5" x14ac:dyDescent="0.3">
      <c r="A29" s="4">
        <v>11</v>
      </c>
      <c r="B29" s="1">
        <v>467482.9</v>
      </c>
    </row>
    <row r="30" spans="1:5" x14ac:dyDescent="0.3">
      <c r="A30" s="4">
        <v>12</v>
      </c>
      <c r="B30" s="1">
        <v>392643.58</v>
      </c>
    </row>
    <row r="31" spans="1:5" x14ac:dyDescent="0.3">
      <c r="A31" s="3" t="s">
        <v>27</v>
      </c>
      <c r="B31" s="1">
        <v>4999937.2200000007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0B48-4AE5-4F8B-888C-2E614CCE0500}">
  <sheetPr>
    <pageSetUpPr autoPageBreaks="0"/>
  </sheetPr>
  <dimension ref="G1:M3"/>
  <sheetViews>
    <sheetView showGridLines="0" showRowColHeaders="0" zoomScaleNormal="100" workbookViewId="0">
      <selection activeCell="J4" sqref="J4"/>
    </sheetView>
    <sheetView workbookViewId="1"/>
    <sheetView showGridLines="0" showRowColHeaders="0" tabSelected="1" topLeftCell="B1" workbookViewId="2">
      <selection activeCell="W24" sqref="W24"/>
    </sheetView>
  </sheetViews>
  <sheetFormatPr defaultRowHeight="14.4" x14ac:dyDescent="0.3"/>
  <sheetData>
    <row r="1" spans="7:13" x14ac:dyDescent="0.3">
      <c r="G1" s="6" t="s">
        <v>36</v>
      </c>
      <c r="H1" s="6"/>
      <c r="I1" s="6"/>
      <c r="J1" s="6"/>
      <c r="K1" s="6"/>
      <c r="L1" s="6"/>
      <c r="M1" s="6"/>
    </row>
    <row r="2" spans="7:13" x14ac:dyDescent="0.3">
      <c r="G2" s="6"/>
      <c r="H2" s="6"/>
      <c r="I2" s="6"/>
      <c r="J2" s="6"/>
      <c r="K2" s="6"/>
      <c r="L2" s="6"/>
      <c r="M2" s="6"/>
    </row>
    <row r="3" spans="7:13" x14ac:dyDescent="0.3">
      <c r="G3" s="6"/>
      <c r="H3" s="6"/>
      <c r="I3" s="6"/>
      <c r="J3" s="6"/>
      <c r="K3" s="6"/>
      <c r="L3" s="6"/>
      <c r="M3" s="6"/>
    </row>
  </sheetData>
  <mergeCells count="1">
    <mergeCell ref="G1:M3"/>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E710-8A6E-4B4B-BAB9-28F909340D58}">
  <dimension ref="A1:B5"/>
  <sheetViews>
    <sheetView workbookViewId="0">
      <selection activeCell="A4" sqref="A2:B5"/>
    </sheetView>
    <sheetView workbookViewId="1"/>
    <sheetView workbookViewId="2"/>
  </sheetViews>
  <sheetFormatPr defaultRowHeight="14.4" x14ac:dyDescent="0.3"/>
  <cols>
    <col min="1" max="1" width="18.5546875" bestFit="1" customWidth="1"/>
    <col min="2" max="2" width="11" bestFit="1" customWidth="1"/>
  </cols>
  <sheetData>
    <row r="1" spans="1:2" x14ac:dyDescent="0.3">
      <c r="A1" t="s">
        <v>0</v>
      </c>
      <c r="B1" t="s">
        <v>1</v>
      </c>
    </row>
    <row r="2" spans="1:2" x14ac:dyDescent="0.3">
      <c r="A2" s="1" t="s">
        <v>2</v>
      </c>
      <c r="B2">
        <v>1313474.3600000001</v>
      </c>
    </row>
    <row r="3" spans="1:2" x14ac:dyDescent="0.3">
      <c r="A3" s="1" t="s">
        <v>3</v>
      </c>
      <c r="B3">
        <v>1260517.69</v>
      </c>
    </row>
    <row r="4" spans="1:2" x14ac:dyDescent="0.3">
      <c r="A4" s="1" t="s">
        <v>4</v>
      </c>
      <c r="B4">
        <v>1243499.6399999999</v>
      </c>
    </row>
    <row r="5" spans="1:2" x14ac:dyDescent="0.3">
      <c r="A5" s="1" t="s">
        <v>5</v>
      </c>
      <c r="B5">
        <v>1201773.54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993B-FD7D-4EDF-8776-135DF449A4F9}">
  <dimension ref="A1:B5"/>
  <sheetViews>
    <sheetView tabSelected="1" workbookViewId="0">
      <selection activeCell="A4" sqref="A2:B5"/>
    </sheetView>
    <sheetView tabSelected="1" workbookViewId="1"/>
    <sheetView workbookViewId="2"/>
  </sheetViews>
  <sheetFormatPr defaultRowHeight="14.4" x14ac:dyDescent="0.3"/>
  <cols>
    <col min="1" max="1" width="18.5546875" bestFit="1" customWidth="1"/>
    <col min="2" max="2" width="12.77734375" bestFit="1" customWidth="1"/>
  </cols>
  <sheetData>
    <row r="1" spans="1:2" x14ac:dyDescent="0.3">
      <c r="A1" t="s">
        <v>0</v>
      </c>
      <c r="B1" t="s">
        <v>6</v>
      </c>
    </row>
    <row r="2" spans="1:2" x14ac:dyDescent="0.3">
      <c r="A2" s="1" t="s">
        <v>2</v>
      </c>
      <c r="B2">
        <v>6922</v>
      </c>
    </row>
    <row r="3" spans="1:2" x14ac:dyDescent="0.3">
      <c r="A3" s="1" t="s">
        <v>3</v>
      </c>
      <c r="B3">
        <v>6729</v>
      </c>
    </row>
    <row r="4" spans="1:2" x14ac:dyDescent="0.3">
      <c r="A4" s="1" t="s">
        <v>4</v>
      </c>
      <c r="B4">
        <v>6096</v>
      </c>
    </row>
    <row r="5" spans="1:2" x14ac:dyDescent="0.3">
      <c r="A5" s="1" t="s">
        <v>5</v>
      </c>
      <c r="B5">
        <v>5608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16C42-6CE0-4FCC-A93E-DCF6FFA01305}">
  <dimension ref="A1:C14"/>
  <sheetViews>
    <sheetView workbookViewId="0">
      <selection activeCell="B2" sqref="A2:C14"/>
    </sheetView>
    <sheetView workbookViewId="1"/>
    <sheetView workbookViewId="2"/>
  </sheetViews>
  <sheetFormatPr defaultRowHeight="14.4" x14ac:dyDescent="0.3"/>
  <cols>
    <col min="1" max="1" width="6.88671875" bestFit="1" customWidth="1"/>
    <col min="2" max="2" width="9" bestFit="1" customWidth="1"/>
    <col min="3" max="3" width="18.88671875" bestFit="1" customWidth="1"/>
  </cols>
  <sheetData>
    <row r="1" spans="1:3" x14ac:dyDescent="0.3">
      <c r="A1" t="s">
        <v>7</v>
      </c>
      <c r="B1" t="s">
        <v>8</v>
      </c>
      <c r="C1" t="s">
        <v>9</v>
      </c>
    </row>
    <row r="2" spans="1:3" x14ac:dyDescent="0.3">
      <c r="A2">
        <v>2023</v>
      </c>
      <c r="B2">
        <v>1</v>
      </c>
      <c r="C2">
        <v>476092.36</v>
      </c>
    </row>
    <row r="3" spans="1:3" x14ac:dyDescent="0.3">
      <c r="A3">
        <v>2023</v>
      </c>
      <c r="B3">
        <v>2</v>
      </c>
      <c r="C3">
        <v>368919.36</v>
      </c>
    </row>
    <row r="4" spans="1:3" x14ac:dyDescent="0.3">
      <c r="A4">
        <v>2023</v>
      </c>
      <c r="B4">
        <v>3</v>
      </c>
      <c r="C4">
        <v>402638.77</v>
      </c>
    </row>
    <row r="5" spans="1:3" x14ac:dyDescent="0.3">
      <c r="A5">
        <v>2023</v>
      </c>
      <c r="B5">
        <v>4</v>
      </c>
      <c r="C5">
        <v>438992.61</v>
      </c>
    </row>
    <row r="6" spans="1:3" x14ac:dyDescent="0.3">
      <c r="A6">
        <v>2023</v>
      </c>
      <c r="B6">
        <v>5</v>
      </c>
      <c r="C6">
        <v>389078.76</v>
      </c>
    </row>
    <row r="7" spans="1:3" x14ac:dyDescent="0.3">
      <c r="A7">
        <v>2023</v>
      </c>
      <c r="B7">
        <v>6</v>
      </c>
      <c r="C7">
        <v>418458.34</v>
      </c>
    </row>
    <row r="8" spans="1:3" x14ac:dyDescent="0.3">
      <c r="A8">
        <v>2023</v>
      </c>
      <c r="B8">
        <v>7</v>
      </c>
      <c r="C8">
        <v>374242.88</v>
      </c>
    </row>
    <row r="9" spans="1:3" x14ac:dyDescent="0.3">
      <c r="A9">
        <v>2023</v>
      </c>
      <c r="B9">
        <v>8</v>
      </c>
      <c r="C9">
        <v>443171.28</v>
      </c>
    </row>
    <row r="10" spans="1:3" x14ac:dyDescent="0.3">
      <c r="A10">
        <v>2023</v>
      </c>
      <c r="B10">
        <v>9</v>
      </c>
      <c r="C10">
        <v>367837.6</v>
      </c>
    </row>
    <row r="11" spans="1:3" x14ac:dyDescent="0.3">
      <c r="A11">
        <v>2023</v>
      </c>
      <c r="B11">
        <v>10</v>
      </c>
      <c r="C11">
        <v>460378.78</v>
      </c>
    </row>
    <row r="12" spans="1:3" x14ac:dyDescent="0.3">
      <c r="A12">
        <v>2023</v>
      </c>
      <c r="B12">
        <v>11</v>
      </c>
      <c r="C12">
        <v>467482.9</v>
      </c>
    </row>
    <row r="13" spans="1:3" x14ac:dyDescent="0.3">
      <c r="A13">
        <v>2023</v>
      </c>
      <c r="B13">
        <v>12</v>
      </c>
      <c r="C13">
        <v>392643.58</v>
      </c>
    </row>
    <row r="14" spans="1:3" x14ac:dyDescent="0.3">
      <c r="A14">
        <v>2024</v>
      </c>
      <c r="B14">
        <v>1</v>
      </c>
      <c r="C14">
        <v>19328.009999999998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51D0B-1885-4FBF-8045-AB6D10E6040F}">
  <dimension ref="A1:B3"/>
  <sheetViews>
    <sheetView workbookViewId="0">
      <selection sqref="A1:B3"/>
    </sheetView>
    <sheetView workbookViewId="1"/>
    <sheetView workbookViewId="2"/>
  </sheetViews>
  <sheetFormatPr defaultRowHeight="14.4" x14ac:dyDescent="0.3"/>
  <cols>
    <col min="1" max="1" width="15.44140625" bestFit="1" customWidth="1"/>
    <col min="2" max="2" width="11" bestFit="1" customWidth="1"/>
  </cols>
  <sheetData>
    <row r="1" spans="1:2" x14ac:dyDescent="0.3">
      <c r="A1" t="s">
        <v>10</v>
      </c>
      <c r="B1" t="s">
        <v>1</v>
      </c>
    </row>
    <row r="2" spans="1:2" x14ac:dyDescent="0.3">
      <c r="A2" s="1" t="s">
        <v>11</v>
      </c>
      <c r="B2">
        <v>2560431.2999999998</v>
      </c>
    </row>
    <row r="3" spans="1:2" x14ac:dyDescent="0.3">
      <c r="A3" s="1" t="s">
        <v>12</v>
      </c>
      <c r="B3">
        <v>2458833.9300000002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0F199-108D-423D-BD26-6DA21948DA9C}">
  <dimension ref="A1:B5"/>
  <sheetViews>
    <sheetView workbookViewId="0">
      <selection sqref="A1:B5"/>
    </sheetView>
    <sheetView workbookViewId="1"/>
    <sheetView workbookViewId="2"/>
  </sheetViews>
  <sheetFormatPr defaultRowHeight="14.4" x14ac:dyDescent="0.3"/>
  <cols>
    <col min="1" max="1" width="9" bestFit="1" customWidth="1"/>
    <col min="2" max="2" width="11" bestFit="1" customWidth="1"/>
  </cols>
  <sheetData>
    <row r="1" spans="1:2" x14ac:dyDescent="0.3">
      <c r="A1" t="s">
        <v>13</v>
      </c>
      <c r="B1" t="s">
        <v>1</v>
      </c>
    </row>
    <row r="2" spans="1:2" x14ac:dyDescent="0.3">
      <c r="A2" s="1" t="s">
        <v>14</v>
      </c>
      <c r="B2">
        <v>1369612.51</v>
      </c>
    </row>
    <row r="3" spans="1:2" x14ac:dyDescent="0.3">
      <c r="A3" s="1" t="s">
        <v>15</v>
      </c>
      <c r="B3">
        <v>1259792.93</v>
      </c>
    </row>
    <row r="4" spans="1:2" x14ac:dyDescent="0.3">
      <c r="A4" s="1" t="s">
        <v>16</v>
      </c>
      <c r="B4">
        <v>1235608.93</v>
      </c>
    </row>
    <row r="5" spans="1:2" x14ac:dyDescent="0.3">
      <c r="A5" s="1" t="s">
        <v>17</v>
      </c>
      <c r="B5">
        <v>1154250.8600000001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15C4-9A22-4AEC-BF94-B74A3AD65FF6}">
  <dimension ref="A1:A2"/>
  <sheetViews>
    <sheetView workbookViewId="0">
      <selection sqref="A1:A2"/>
    </sheetView>
    <sheetView workbookViewId="1"/>
    <sheetView workbookViewId="2"/>
  </sheetViews>
  <sheetFormatPr defaultRowHeight="14.4" x14ac:dyDescent="0.3"/>
  <cols>
    <col min="1" max="1" width="15.88671875" bestFit="1" customWidth="1"/>
  </cols>
  <sheetData>
    <row r="1" spans="1:1" x14ac:dyDescent="0.3">
      <c r="A1" t="s">
        <v>18</v>
      </c>
    </row>
    <row r="2" spans="1:1" x14ac:dyDescent="0.3">
      <c r="A2">
        <v>5019265.2300000004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08193-93F7-4579-99BC-F61CFB442DF4}">
  <dimension ref="A1:B3"/>
  <sheetViews>
    <sheetView workbookViewId="0"/>
    <sheetView workbookViewId="1"/>
    <sheetView workbookViewId="2"/>
  </sheetViews>
  <sheetFormatPr defaultRowHeight="14.4" x14ac:dyDescent="0.3"/>
  <cols>
    <col min="1" max="1" width="15.44140625" bestFit="1" customWidth="1"/>
    <col min="2" max="2" width="11" bestFit="1" customWidth="1"/>
  </cols>
  <sheetData>
    <row r="1" spans="1:2" x14ac:dyDescent="0.3">
      <c r="A1" t="s">
        <v>10</v>
      </c>
      <c r="B1" t="s">
        <v>1</v>
      </c>
    </row>
    <row r="2" spans="1:2" x14ac:dyDescent="0.3">
      <c r="A2" s="1" t="s">
        <v>11</v>
      </c>
      <c r="B2">
        <v>2560431.2999999998</v>
      </c>
    </row>
    <row r="3" spans="1:2" x14ac:dyDescent="0.3">
      <c r="A3" s="1" t="s">
        <v>12</v>
      </c>
      <c r="B3">
        <v>2458833.9300000002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249CA-46AE-4E19-963F-C688357C4EED}">
  <dimension ref="A1:B6"/>
  <sheetViews>
    <sheetView workbookViewId="0">
      <selection sqref="A1:B6"/>
    </sheetView>
    <sheetView workbookViewId="1"/>
    <sheetView workbookViewId="2"/>
  </sheetViews>
  <sheetFormatPr defaultRowHeight="14.4" x14ac:dyDescent="0.3"/>
  <cols>
    <col min="1" max="1" width="11.6640625" bestFit="1" customWidth="1"/>
    <col min="2" max="2" width="16.77734375" bestFit="1" customWidth="1"/>
  </cols>
  <sheetData>
    <row r="1" spans="1:2" x14ac:dyDescent="0.3">
      <c r="A1" t="s">
        <v>19</v>
      </c>
      <c r="B1" t="s">
        <v>20</v>
      </c>
    </row>
    <row r="2" spans="1:2" x14ac:dyDescent="0.3">
      <c r="A2" s="1" t="s">
        <v>21</v>
      </c>
      <c r="B2">
        <v>222</v>
      </c>
    </row>
    <row r="3" spans="1:2" x14ac:dyDescent="0.3">
      <c r="A3" s="1" t="s">
        <v>22</v>
      </c>
      <c r="B3">
        <v>209</v>
      </c>
    </row>
    <row r="4" spans="1:2" x14ac:dyDescent="0.3">
      <c r="A4" s="1" t="s">
        <v>23</v>
      </c>
      <c r="B4">
        <v>208</v>
      </c>
    </row>
    <row r="5" spans="1:2" x14ac:dyDescent="0.3">
      <c r="A5" s="1" t="s">
        <v>24</v>
      </c>
      <c r="B5">
        <v>192</v>
      </c>
    </row>
    <row r="6" spans="1:2" x14ac:dyDescent="0.3">
      <c r="A6" s="1" t="s">
        <v>25</v>
      </c>
      <c r="B6">
        <v>169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B140-B559-4F7C-BEC1-8DABA2EC9BE8}">
  <dimension ref="A1:C5"/>
  <sheetViews>
    <sheetView workbookViewId="0">
      <selection sqref="A1:C5"/>
    </sheetView>
    <sheetView workbookViewId="1"/>
    <sheetView workbookViewId="2"/>
  </sheetViews>
  <sheetFormatPr defaultRowHeight="14.4" x14ac:dyDescent="0.3"/>
  <cols>
    <col min="1" max="1" width="18.5546875" bestFit="1" customWidth="1"/>
    <col min="2" max="2" width="15.88671875" bestFit="1" customWidth="1"/>
    <col min="3" max="3" width="18.5546875" bestFit="1" customWidth="1"/>
  </cols>
  <sheetData>
    <row r="1" spans="1:3" x14ac:dyDescent="0.3">
      <c r="A1" t="s">
        <v>0</v>
      </c>
      <c r="B1" t="s">
        <v>18</v>
      </c>
      <c r="C1" t="s">
        <v>26</v>
      </c>
    </row>
    <row r="2" spans="1:3" x14ac:dyDescent="0.3">
      <c r="A2" s="1" t="s">
        <v>2</v>
      </c>
      <c r="B2">
        <v>1313474.3600000001</v>
      </c>
      <c r="C2">
        <v>0.16022400000000001</v>
      </c>
    </row>
    <row r="3" spans="1:3" x14ac:dyDescent="0.3">
      <c r="A3" s="1" t="s">
        <v>3</v>
      </c>
      <c r="B3">
        <v>1260517.69</v>
      </c>
      <c r="C3">
        <v>0.15811500000000001</v>
      </c>
    </row>
    <row r="4" spans="1:3" x14ac:dyDescent="0.3">
      <c r="A4" s="1" t="s">
        <v>4</v>
      </c>
      <c r="B4">
        <v>1243499.6399999999</v>
      </c>
      <c r="C4">
        <v>0.13650399999999999</v>
      </c>
    </row>
    <row r="5" spans="1:3" x14ac:dyDescent="0.3">
      <c r="A5" s="1" t="s">
        <v>5</v>
      </c>
      <c r="B5">
        <v>1201773.54</v>
      </c>
      <c r="C5">
        <v>0.153805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7E8EC1-879A-4445-8727-850E63B5C5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Dashboard</vt:lpstr>
      <vt:lpstr>Category_by_ Revenu</vt:lpstr>
      <vt:lpstr>Category_by_Quantity</vt:lpstr>
      <vt:lpstr>Monthly_Sales_Trends</vt:lpstr>
      <vt:lpstr>Most used Payment Method</vt:lpstr>
      <vt:lpstr>Revenue_by_Region</vt:lpstr>
      <vt:lpstr>Sales amount By total Revenu</vt:lpstr>
      <vt:lpstr>Sales Channel_by_Revenue</vt:lpstr>
      <vt:lpstr>Sales_Rep_by_orders_handled</vt:lpstr>
      <vt:lpstr>Category with the highest Reven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ujunwa rose</dc:creator>
  <cp:lastModifiedBy>ujunwa rose</cp:lastModifiedBy>
  <dcterms:created xsi:type="dcterms:W3CDTF">2026-06-04T13:26:00Z</dcterms:created>
  <dcterms:modified xsi:type="dcterms:W3CDTF">2026-06-04T20:40:30Z</dcterms:modified>
</cp:coreProperties>
</file>